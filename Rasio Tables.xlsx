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ANOVA, Post Hoc Test, and Kaplan Meier in SPSS\"/>
    </mc:Choice>
  </mc:AlternateContent>
  <xr:revisionPtr revIDLastSave="0" documentId="13_ncr:1_{02CBFD92-4BD3-4DA1-99E0-396A57871FD2}" xr6:coauthVersionLast="47" xr6:coauthVersionMax="47" xr10:uidLastSave="{00000000-0000-0000-0000-000000000000}"/>
  <bookViews>
    <workbookView xWindow="-110" yWindow="-110" windowWidth="19420" windowHeight="10300" activeTab="4" xr2:uid="{EB8E6103-EC00-40BF-A4F0-F3178E46D27D}"/>
  </bookViews>
  <sheets>
    <sheet name="Normality" sheetId="1" r:id="rId1"/>
    <sheet name="Mean and SD" sheetId="2" r:id="rId2"/>
    <sheet name="Percentiles" sheetId="3" r:id="rId3"/>
    <sheet name="ANOVA" sheetId="4" r:id="rId4"/>
    <sheet name="Post Ho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M3" i="1"/>
  <c r="K3" i="1"/>
  <c r="L3" i="1" s="1"/>
  <c r="J3" i="1"/>
  <c r="O3" i="1"/>
  <c r="L2" i="4"/>
</calcChain>
</file>

<file path=xl/sharedStrings.xml><?xml version="1.0" encoding="utf-8"?>
<sst xmlns="http://schemas.openxmlformats.org/spreadsheetml/2006/main" count="108" uniqueCount="60">
  <si>
    <t/>
  </si>
  <si>
    <t>Tests of Normality</t>
  </si>
  <si>
    <t>Shapiro-Wilk</t>
  </si>
  <si>
    <t>Statistic</t>
  </si>
  <si>
    <t>df</t>
  </si>
  <si>
    <t>Sig.</t>
  </si>
  <si>
    <t>Ratio</t>
  </si>
  <si>
    <t>a. Lilliefors Significance Correction</t>
  </si>
  <si>
    <r>
      <t>Kolmogorov-Smirnov</t>
    </r>
    <r>
      <rPr>
        <vertAlign val="superscript"/>
        <sz val="9"/>
        <color indexed="62"/>
        <rFont val="Arial"/>
        <family val="2"/>
      </rPr>
      <t>a</t>
    </r>
  </si>
  <si>
    <t>Descriptives</t>
  </si>
  <si>
    <t>Std. Error</t>
  </si>
  <si>
    <t>Mean</t>
  </si>
  <si>
    <t>95% Confidence Interval for Mean</t>
  </si>
  <si>
    <t>Lower Bound</t>
  </si>
  <si>
    <t>Upper Bound</t>
  </si>
  <si>
    <t>5% Trimmed Mean</t>
  </si>
  <si>
    <t>Median</t>
  </si>
  <si>
    <t>Variance</t>
  </si>
  <si>
    <t>Std. Deviation</t>
  </si>
  <si>
    <t>Minimum</t>
  </si>
  <si>
    <t>Maximum</t>
  </si>
  <si>
    <t>Range</t>
  </si>
  <si>
    <t>Interquartile Range</t>
  </si>
  <si>
    <t>Skewness</t>
  </si>
  <si>
    <t>Kurtosis</t>
  </si>
  <si>
    <t>Data</t>
  </si>
  <si>
    <t>Rasio</t>
  </si>
  <si>
    <t>Rerata</t>
  </si>
  <si>
    <t>Standar Deviasi</t>
  </si>
  <si>
    <t>Percentiles</t>
  </si>
  <si>
    <t>5</t>
  </si>
  <si>
    <t>10</t>
  </si>
  <si>
    <t>25</t>
  </si>
  <si>
    <t>50</t>
  </si>
  <si>
    <t>75</t>
  </si>
  <si>
    <t>90</t>
  </si>
  <si>
    <t>95</t>
  </si>
  <si>
    <t>Weighted Average(Definition 1)</t>
  </si>
  <si>
    <t>Tukey's Hinges</t>
  </si>
  <si>
    <t>ANOVA</t>
  </si>
  <si>
    <t>Sum of Squares</t>
  </si>
  <si>
    <t>Mean Square</t>
  </si>
  <si>
    <t>F</t>
  </si>
  <si>
    <t>Between Groups</t>
  </si>
  <si>
    <t>Within Groups</t>
  </si>
  <si>
    <t>Total</t>
  </si>
  <si>
    <t>(I) Kelompok</t>
  </si>
  <si>
    <t>Mean Difference (I-J)</t>
  </si>
  <si>
    <t>95% Confidence Interval</t>
  </si>
  <si>
    <t>CLP NACL 30</t>
  </si>
  <si>
    <t>CLP ALB 10</t>
  </si>
  <si>
    <t>CLP NACL 10</t>
  </si>
  <si>
    <t>CLP ONLY</t>
  </si>
  <si>
    <t>Dataset</t>
  </si>
  <si>
    <t>F Hitung</t>
  </si>
  <si>
    <t>p-value</t>
  </si>
  <si>
    <t>Keterangan</t>
  </si>
  <si>
    <t>Kolmogorov-Smirnov</t>
  </si>
  <si>
    <t>Statistik W</t>
  </si>
  <si>
    <t>Kesimpulan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</si>
</sst>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##0.000"/>
    <numFmt numFmtId="169" formatCode="###0"/>
    <numFmt numFmtId="170" formatCode="###0.0000"/>
    <numFmt numFmtId="171" formatCode="###0.00000"/>
    <numFmt numFmtId="172" formatCode="#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vertAlign val="superscript"/>
      <sz val="9"/>
      <color indexed="62"/>
      <name val="Arial"/>
      <family val="2"/>
    </font>
    <font>
      <sz val="9"/>
      <color indexed="60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 style="thin">
        <color indexed="63"/>
      </right>
      <top style="thin">
        <color indexed="61"/>
      </top>
      <bottom/>
      <diagonal/>
    </border>
    <border>
      <left style="thin">
        <color indexed="63"/>
      </left>
      <right/>
      <top style="thin">
        <color indexed="6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1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0" xfId="1" applyFont="1" applyBorder="1" applyAlignment="1">
      <alignment horizontal="left" wrapText="1"/>
    </xf>
    <xf numFmtId="0" fontId="3" fillId="0" borderId="0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left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2" borderId="7" xfId="1" applyFont="1" applyFill="1" applyBorder="1" applyAlignment="1">
      <alignment horizontal="left" vertical="top" wrapText="1"/>
    </xf>
    <xf numFmtId="168" fontId="5" fillId="0" borderId="8" xfId="1" applyNumberFormat="1" applyFont="1" applyBorder="1" applyAlignment="1">
      <alignment horizontal="right" vertical="top"/>
    </xf>
    <xf numFmtId="169" fontId="5" fillId="0" borderId="9" xfId="1" applyNumberFormat="1" applyFont="1" applyBorder="1" applyAlignment="1">
      <alignment horizontal="right" vertical="top"/>
    </xf>
    <xf numFmtId="168" fontId="5" fillId="0" borderId="10" xfId="1" applyNumberFormat="1" applyFont="1" applyBorder="1" applyAlignment="1">
      <alignment horizontal="right" vertical="top"/>
    </xf>
    <xf numFmtId="168" fontId="5" fillId="0" borderId="9" xfId="1" applyNumberFormat="1" applyFont="1" applyBorder="1" applyAlignment="1">
      <alignment horizontal="right" vertical="top"/>
    </xf>
    <xf numFmtId="0" fontId="5" fillId="0" borderId="0" xfId="1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3" xfId="2" applyFont="1" applyBorder="1" applyAlignment="1">
      <alignment horizontal="left" wrapText="1"/>
    </xf>
    <xf numFmtId="0" fontId="3" fillId="0" borderId="4" xfId="2" applyFont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2" borderId="11" xfId="2" applyFont="1" applyFill="1" applyBorder="1" applyAlignment="1">
      <alignment horizontal="left" vertical="top" wrapText="1"/>
    </xf>
    <xf numFmtId="170" fontId="5" fillId="0" borderId="12" xfId="2" applyNumberFormat="1" applyFont="1" applyBorder="1" applyAlignment="1">
      <alignment horizontal="right" vertical="top"/>
    </xf>
    <xf numFmtId="171" fontId="5" fillId="0" borderId="13" xfId="2" applyNumberFormat="1" applyFont="1" applyBorder="1" applyAlignment="1">
      <alignment horizontal="right" vertical="top"/>
    </xf>
    <xf numFmtId="0" fontId="3" fillId="2" borderId="14" xfId="2" applyFont="1" applyFill="1" applyBorder="1" applyAlignment="1">
      <alignment horizontal="left" vertical="top" wrapText="1"/>
    </xf>
    <xf numFmtId="0" fontId="3" fillId="2" borderId="15" xfId="2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170" fontId="5" fillId="0" borderId="16" xfId="2" applyNumberFormat="1" applyFont="1" applyBorder="1" applyAlignment="1">
      <alignment horizontal="right" vertical="top"/>
    </xf>
    <xf numFmtId="0" fontId="5" fillId="0" borderId="17" xfId="2" applyFont="1" applyBorder="1" applyAlignment="1">
      <alignment horizontal="left" vertical="top" wrapText="1"/>
    </xf>
    <xf numFmtId="0" fontId="3" fillId="2" borderId="15" xfId="2" applyFont="1" applyFill="1" applyBorder="1" applyAlignment="1">
      <alignment horizontal="left" vertical="top" wrapText="1"/>
    </xf>
    <xf numFmtId="170" fontId="5" fillId="0" borderId="18" xfId="2" applyNumberFormat="1" applyFont="1" applyBorder="1" applyAlignment="1">
      <alignment horizontal="right" vertical="top"/>
    </xf>
    <xf numFmtId="0" fontId="5" fillId="0" borderId="19" xfId="2" applyFont="1" applyBorder="1" applyAlignment="1">
      <alignment horizontal="left" vertical="top" wrapText="1"/>
    </xf>
    <xf numFmtId="168" fontId="5" fillId="0" borderId="18" xfId="2" applyNumberFormat="1" applyFont="1" applyBorder="1" applyAlignment="1">
      <alignment horizontal="right" vertical="top"/>
    </xf>
    <xf numFmtId="171" fontId="5" fillId="0" borderId="18" xfId="2" applyNumberFormat="1" applyFont="1" applyBorder="1" applyAlignment="1">
      <alignment horizontal="right" vertical="top"/>
    </xf>
    <xf numFmtId="172" fontId="5" fillId="0" borderId="18" xfId="2" applyNumberFormat="1" applyFont="1" applyBorder="1" applyAlignment="1">
      <alignment horizontal="right" vertical="top"/>
    </xf>
    <xf numFmtId="168" fontId="5" fillId="0" borderId="19" xfId="2" applyNumberFormat="1" applyFont="1" applyBorder="1" applyAlignment="1">
      <alignment horizontal="right" vertical="top"/>
    </xf>
    <xf numFmtId="0" fontId="3" fillId="2" borderId="20" xfId="2" applyFont="1" applyFill="1" applyBorder="1" applyAlignment="1">
      <alignment horizontal="left" vertical="top" wrapText="1"/>
    </xf>
    <xf numFmtId="168" fontId="5" fillId="0" borderId="21" xfId="2" applyNumberFormat="1" applyFont="1" applyBorder="1" applyAlignment="1">
      <alignment horizontal="right" vertical="top"/>
    </xf>
    <xf numFmtId="168" fontId="5" fillId="0" borderId="22" xfId="2" applyNumberFormat="1" applyFont="1" applyBorder="1" applyAlignment="1">
      <alignment horizontal="right" vertical="top"/>
    </xf>
    <xf numFmtId="0" fontId="6" fillId="0" borderId="24" xfId="0" applyFont="1" applyFill="1" applyBorder="1"/>
    <xf numFmtId="170" fontId="6" fillId="0" borderId="24" xfId="2" applyNumberFormat="1" applyFont="1" applyFill="1" applyBorder="1" applyAlignment="1">
      <alignment horizontal="right" vertical="top"/>
    </xf>
    <xf numFmtId="171" fontId="6" fillId="0" borderId="24" xfId="2" applyNumberFormat="1" applyFont="1" applyFill="1" applyBorder="1" applyAlignment="1">
      <alignment horizontal="right" vertical="top"/>
    </xf>
    <xf numFmtId="0" fontId="2" fillId="0" borderId="0" xfId="3" applyFont="1" applyBorder="1" applyAlignment="1">
      <alignment horizontal="center" vertical="center" wrapText="1"/>
    </xf>
    <xf numFmtId="0" fontId="1" fillId="0" borderId="0" xfId="3"/>
    <xf numFmtId="0" fontId="3" fillId="0" borderId="0" xfId="3" applyFont="1" applyBorder="1" applyAlignment="1">
      <alignment horizontal="left" wrapText="1"/>
    </xf>
    <xf numFmtId="0" fontId="3" fillId="0" borderId="25" xfId="3" applyFont="1" applyBorder="1" applyAlignment="1">
      <alignment horizontal="center" wrapText="1"/>
    </xf>
    <xf numFmtId="0" fontId="3" fillId="0" borderId="1" xfId="3" applyFont="1" applyBorder="1" applyAlignment="1">
      <alignment horizontal="center" wrapText="1"/>
    </xf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left" wrapText="1"/>
    </xf>
    <xf numFmtId="0" fontId="3" fillId="0" borderId="4" xfId="3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3" fillId="2" borderId="11" xfId="3" applyFont="1" applyFill="1" applyBorder="1" applyAlignment="1">
      <alignment horizontal="left" vertical="top" wrapText="1"/>
    </xf>
    <xf numFmtId="170" fontId="5" fillId="0" borderId="12" xfId="3" applyNumberFormat="1" applyFont="1" applyBorder="1" applyAlignment="1">
      <alignment horizontal="right" vertical="top"/>
    </xf>
    <xf numFmtId="170" fontId="5" fillId="0" borderId="26" xfId="3" applyNumberFormat="1" applyFont="1" applyBorder="1" applyAlignment="1">
      <alignment horizontal="right" vertical="top"/>
    </xf>
    <xf numFmtId="170" fontId="5" fillId="0" borderId="13" xfId="3" applyNumberFormat="1" applyFont="1" applyBorder="1" applyAlignment="1">
      <alignment horizontal="right" vertical="top"/>
    </xf>
    <xf numFmtId="0" fontId="3" fillId="2" borderId="20" xfId="3" applyFont="1" applyFill="1" applyBorder="1" applyAlignment="1">
      <alignment horizontal="left" vertical="top" wrapText="1"/>
    </xf>
    <xf numFmtId="0" fontId="5" fillId="0" borderId="21" xfId="3" applyFont="1" applyBorder="1" applyAlignment="1">
      <alignment horizontal="left" vertical="top" wrapText="1"/>
    </xf>
    <xf numFmtId="0" fontId="5" fillId="0" borderId="27" xfId="3" applyFont="1" applyBorder="1" applyAlignment="1">
      <alignment horizontal="left" vertical="top" wrapText="1"/>
    </xf>
    <xf numFmtId="170" fontId="5" fillId="0" borderId="27" xfId="3" applyNumberFormat="1" applyFont="1" applyBorder="1" applyAlignment="1">
      <alignment horizontal="right" vertical="top"/>
    </xf>
    <xf numFmtId="0" fontId="5" fillId="0" borderId="22" xfId="3" applyFont="1" applyBorder="1" applyAlignment="1">
      <alignment horizontal="left" vertical="top" wrapText="1"/>
    </xf>
    <xf numFmtId="0" fontId="6" fillId="0" borderId="23" xfId="0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wrapText="1"/>
    </xf>
    <xf numFmtId="0" fontId="6" fillId="0" borderId="28" xfId="0" applyFont="1" applyFill="1" applyBorder="1" applyAlignment="1">
      <alignment horizontal="center" vertical="center"/>
    </xf>
    <xf numFmtId="0" fontId="6" fillId="0" borderId="28" xfId="3" applyFont="1" applyFill="1" applyBorder="1" applyAlignment="1">
      <alignment horizontal="center"/>
    </xf>
    <xf numFmtId="0" fontId="6" fillId="0" borderId="24" xfId="3" applyFont="1" applyFill="1" applyBorder="1" applyAlignment="1">
      <alignment horizontal="center"/>
    </xf>
    <xf numFmtId="170" fontId="6" fillId="0" borderId="24" xfId="3" applyNumberFormat="1" applyFont="1" applyFill="1" applyBorder="1" applyAlignment="1">
      <alignment horizontal="right" vertical="top"/>
    </xf>
    <xf numFmtId="0" fontId="2" fillId="0" borderId="0" xfId="4" applyFont="1" applyBorder="1" applyAlignment="1">
      <alignment horizontal="center" vertical="center" wrapText="1"/>
    </xf>
    <xf numFmtId="0" fontId="1" fillId="0" borderId="0" xfId="4"/>
    <xf numFmtId="0" fontId="5" fillId="3" borderId="0" xfId="4" applyFont="1" applyFill="1"/>
    <xf numFmtId="0" fontId="1" fillId="0" borderId="0" xfId="4"/>
    <xf numFmtId="0" fontId="3" fillId="0" borderId="3" xfId="4" applyFont="1" applyBorder="1" applyAlignment="1">
      <alignment horizontal="left" wrapText="1"/>
    </xf>
    <xf numFmtId="0" fontId="3" fillId="0" borderId="4" xfId="4" applyFont="1" applyBorder="1" applyAlignment="1">
      <alignment horizontal="center" wrapText="1"/>
    </xf>
    <xf numFmtId="0" fontId="3" fillId="0" borderId="5" xfId="4" applyFont="1" applyBorder="1" applyAlignment="1">
      <alignment horizontal="center" wrapText="1"/>
    </xf>
    <xf numFmtId="0" fontId="3" fillId="0" borderId="6" xfId="4" applyFont="1" applyBorder="1" applyAlignment="1">
      <alignment horizontal="center" wrapText="1"/>
    </xf>
    <xf numFmtId="0" fontId="3" fillId="2" borderId="29" xfId="4" applyFont="1" applyFill="1" applyBorder="1" applyAlignment="1">
      <alignment horizontal="left" vertical="top" wrapText="1"/>
    </xf>
    <xf numFmtId="168" fontId="5" fillId="0" borderId="30" xfId="4" applyNumberFormat="1" applyFont="1" applyBorder="1" applyAlignment="1">
      <alignment horizontal="right" vertical="top"/>
    </xf>
    <xf numFmtId="169" fontId="5" fillId="0" borderId="31" xfId="4" applyNumberFormat="1" applyFont="1" applyBorder="1" applyAlignment="1">
      <alignment horizontal="right" vertical="top"/>
    </xf>
    <xf numFmtId="168" fontId="5" fillId="0" borderId="31" xfId="4" applyNumberFormat="1" applyFont="1" applyBorder="1" applyAlignment="1">
      <alignment horizontal="right" vertical="top"/>
    </xf>
    <xf numFmtId="168" fontId="5" fillId="0" borderId="32" xfId="4" applyNumberFormat="1" applyFont="1" applyBorder="1" applyAlignment="1">
      <alignment horizontal="right" vertical="top"/>
    </xf>
    <xf numFmtId="0" fontId="3" fillId="2" borderId="14" xfId="4" applyFont="1" applyFill="1" applyBorder="1" applyAlignment="1">
      <alignment horizontal="left" vertical="top" wrapText="1"/>
    </xf>
    <xf numFmtId="168" fontId="5" fillId="0" borderId="16" xfId="4" applyNumberFormat="1" applyFont="1" applyBorder="1" applyAlignment="1">
      <alignment horizontal="right" vertical="top"/>
    </xf>
    <xf numFmtId="169" fontId="5" fillId="0" borderId="33" xfId="4" applyNumberFormat="1" applyFont="1" applyBorder="1" applyAlignment="1">
      <alignment horizontal="right" vertical="top"/>
    </xf>
    <xf numFmtId="168" fontId="5" fillId="0" borderId="33" xfId="4" applyNumberFormat="1" applyFont="1" applyBorder="1" applyAlignment="1">
      <alignment horizontal="right" vertical="top"/>
    </xf>
    <xf numFmtId="0" fontId="5" fillId="0" borderId="33" xfId="4" applyFont="1" applyBorder="1" applyAlignment="1">
      <alignment horizontal="left" vertical="top" wrapText="1"/>
    </xf>
    <xf numFmtId="0" fontId="5" fillId="0" borderId="17" xfId="4" applyFont="1" applyBorder="1" applyAlignment="1">
      <alignment horizontal="left" vertical="top" wrapText="1"/>
    </xf>
    <xf numFmtId="0" fontId="3" fillId="2" borderId="20" xfId="4" applyFont="1" applyFill="1" applyBorder="1" applyAlignment="1">
      <alignment horizontal="left" vertical="top" wrapText="1"/>
    </xf>
    <xf numFmtId="168" fontId="5" fillId="0" borderId="21" xfId="4" applyNumberFormat="1" applyFont="1" applyBorder="1" applyAlignment="1">
      <alignment horizontal="right" vertical="top"/>
    </xf>
    <xf numFmtId="169" fontId="5" fillId="0" borderId="27" xfId="4" applyNumberFormat="1" applyFont="1" applyBorder="1" applyAlignment="1">
      <alignment horizontal="right" vertical="top"/>
    </xf>
    <xf numFmtId="0" fontId="5" fillId="0" borderId="27" xfId="4" applyFont="1" applyBorder="1" applyAlignment="1">
      <alignment horizontal="left" vertical="top" wrapText="1"/>
    </xf>
    <xf numFmtId="0" fontId="5" fillId="0" borderId="22" xfId="4" applyFont="1" applyBorder="1" applyAlignment="1">
      <alignment horizontal="left" vertical="top" wrapText="1"/>
    </xf>
    <xf numFmtId="0" fontId="1" fillId="0" borderId="0" xfId="5"/>
    <xf numFmtId="0" fontId="3" fillId="0" borderId="0" xfId="5" applyFont="1" applyBorder="1" applyAlignment="1">
      <alignment horizontal="left" wrapText="1"/>
    </xf>
    <xf numFmtId="0" fontId="3" fillId="0" borderId="25" xfId="5" applyFont="1" applyBorder="1" applyAlignment="1">
      <alignment horizontal="center" wrapText="1"/>
    </xf>
    <xf numFmtId="0" fontId="3" fillId="0" borderId="1" xfId="5" applyFont="1" applyBorder="1" applyAlignment="1">
      <alignment horizontal="center" wrapText="1"/>
    </xf>
    <xf numFmtId="0" fontId="3" fillId="0" borderId="2" xfId="5" applyFont="1" applyBorder="1" applyAlignment="1">
      <alignment horizontal="center" wrapText="1"/>
    </xf>
    <xf numFmtId="0" fontId="3" fillId="0" borderId="3" xfId="5" applyFont="1" applyBorder="1" applyAlignment="1">
      <alignment horizontal="left" wrapText="1"/>
    </xf>
    <xf numFmtId="0" fontId="3" fillId="0" borderId="4" xfId="5" applyFont="1" applyBorder="1" applyAlignment="1">
      <alignment horizontal="center" wrapText="1"/>
    </xf>
    <xf numFmtId="0" fontId="3" fillId="0" borderId="5" xfId="5" applyFont="1" applyBorder="1" applyAlignment="1">
      <alignment horizontal="center" wrapText="1"/>
    </xf>
    <xf numFmtId="0" fontId="3" fillId="0" borderId="5" xfId="5" applyFont="1" applyBorder="1" applyAlignment="1">
      <alignment horizontal="center" wrapText="1"/>
    </xf>
    <xf numFmtId="0" fontId="3" fillId="0" borderId="6" xfId="5" applyFont="1" applyBorder="1" applyAlignment="1">
      <alignment horizontal="center" wrapText="1"/>
    </xf>
    <xf numFmtId="0" fontId="3" fillId="2" borderId="11" xfId="5" applyFont="1" applyFill="1" applyBorder="1" applyAlignment="1">
      <alignment horizontal="left" vertical="top" wrapText="1"/>
    </xf>
    <xf numFmtId="0" fontId="3" fillId="2" borderId="29" xfId="5" applyFont="1" applyFill="1" applyBorder="1" applyAlignment="1">
      <alignment horizontal="left" vertical="top" wrapText="1"/>
    </xf>
    <xf numFmtId="171" fontId="5" fillId="0" borderId="30" xfId="5" applyNumberFormat="1" applyFont="1" applyBorder="1" applyAlignment="1">
      <alignment horizontal="right" vertical="top"/>
    </xf>
    <xf numFmtId="171" fontId="5" fillId="0" borderId="31" xfId="5" applyNumberFormat="1" applyFont="1" applyBorder="1" applyAlignment="1">
      <alignment horizontal="right" vertical="top"/>
    </xf>
    <xf numFmtId="168" fontId="5" fillId="0" borderId="31" xfId="5" applyNumberFormat="1" applyFont="1" applyBorder="1" applyAlignment="1">
      <alignment horizontal="right" vertical="top"/>
    </xf>
    <xf numFmtId="170" fontId="5" fillId="0" borderId="31" xfId="5" applyNumberFormat="1" applyFont="1" applyBorder="1" applyAlignment="1">
      <alignment horizontal="right" vertical="top"/>
    </xf>
    <xf numFmtId="170" fontId="5" fillId="0" borderId="32" xfId="5" applyNumberFormat="1" applyFont="1" applyBorder="1" applyAlignment="1">
      <alignment horizontal="right" vertical="top"/>
    </xf>
    <xf numFmtId="0" fontId="3" fillId="2" borderId="14" xfId="5" applyFont="1" applyFill="1" applyBorder="1" applyAlignment="1">
      <alignment horizontal="left" vertical="top" wrapText="1"/>
    </xf>
    <xf numFmtId="0" fontId="3" fillId="2" borderId="14" xfId="5" applyFont="1" applyFill="1" applyBorder="1" applyAlignment="1">
      <alignment horizontal="left" vertical="top" wrapText="1"/>
    </xf>
    <xf numFmtId="171" fontId="5" fillId="0" borderId="16" xfId="5" applyNumberFormat="1" applyFont="1" applyBorder="1" applyAlignment="1">
      <alignment horizontal="right" vertical="top"/>
    </xf>
    <xf numFmtId="171" fontId="5" fillId="0" borderId="33" xfId="5" applyNumberFormat="1" applyFont="1" applyBorder="1" applyAlignment="1">
      <alignment horizontal="right" vertical="top"/>
    </xf>
    <xf numFmtId="168" fontId="5" fillId="0" borderId="33" xfId="5" applyNumberFormat="1" applyFont="1" applyBorder="1" applyAlignment="1">
      <alignment horizontal="right" vertical="top"/>
    </xf>
    <xf numFmtId="170" fontId="5" fillId="0" borderId="33" xfId="5" applyNumberFormat="1" applyFont="1" applyBorder="1" applyAlignment="1">
      <alignment horizontal="right" vertical="top"/>
    </xf>
    <xf numFmtId="170" fontId="5" fillId="0" borderId="17" xfId="5" applyNumberFormat="1" applyFont="1" applyBorder="1" applyAlignment="1">
      <alignment horizontal="right" vertical="top"/>
    </xf>
    <xf numFmtId="0" fontId="3" fillId="2" borderId="15" xfId="5" applyFont="1" applyFill="1" applyBorder="1" applyAlignment="1">
      <alignment horizontal="left" vertical="top" wrapText="1"/>
    </xf>
    <xf numFmtId="0" fontId="3" fillId="2" borderId="15" xfId="5" applyFont="1" applyFill="1" applyBorder="1" applyAlignment="1">
      <alignment horizontal="left" vertical="top" wrapText="1"/>
    </xf>
    <xf numFmtId="171" fontId="5" fillId="0" borderId="18" xfId="5" applyNumberFormat="1" applyFont="1" applyBorder="1" applyAlignment="1">
      <alignment horizontal="right" vertical="top"/>
    </xf>
    <xf numFmtId="171" fontId="5" fillId="0" borderId="34" xfId="5" applyNumberFormat="1" applyFont="1" applyBorder="1" applyAlignment="1">
      <alignment horizontal="right" vertical="top"/>
    </xf>
    <xf numFmtId="168" fontId="5" fillId="0" borderId="34" xfId="5" applyNumberFormat="1" applyFont="1" applyBorder="1" applyAlignment="1">
      <alignment horizontal="right" vertical="top"/>
    </xf>
    <xf numFmtId="170" fontId="5" fillId="0" borderId="34" xfId="5" applyNumberFormat="1" applyFont="1" applyBorder="1" applyAlignment="1">
      <alignment horizontal="right" vertical="top"/>
    </xf>
    <xf numFmtId="170" fontId="5" fillId="0" borderId="19" xfId="5" applyNumberFormat="1" applyFont="1" applyBorder="1" applyAlignment="1">
      <alignment horizontal="right" vertical="top"/>
    </xf>
    <xf numFmtId="0" fontId="3" fillId="2" borderId="20" xfId="5" applyFont="1" applyFill="1" applyBorder="1" applyAlignment="1">
      <alignment horizontal="left" vertical="top" wrapText="1"/>
    </xf>
    <xf numFmtId="0" fontId="3" fillId="2" borderId="20" xfId="5" applyFont="1" applyFill="1" applyBorder="1" applyAlignment="1">
      <alignment horizontal="left" vertical="top" wrapText="1"/>
    </xf>
    <xf numFmtId="171" fontId="5" fillId="0" borderId="21" xfId="5" applyNumberFormat="1" applyFont="1" applyBorder="1" applyAlignment="1">
      <alignment horizontal="right" vertical="top"/>
    </xf>
    <xf numFmtId="171" fontId="5" fillId="0" borderId="27" xfId="5" applyNumberFormat="1" applyFont="1" applyBorder="1" applyAlignment="1">
      <alignment horizontal="right" vertical="top"/>
    </xf>
    <xf numFmtId="168" fontId="5" fillId="0" borderId="27" xfId="5" applyNumberFormat="1" applyFont="1" applyBorder="1" applyAlignment="1">
      <alignment horizontal="right" vertical="top"/>
    </xf>
    <xf numFmtId="170" fontId="5" fillId="0" borderId="27" xfId="5" applyNumberFormat="1" applyFont="1" applyBorder="1" applyAlignment="1">
      <alignment horizontal="right" vertical="top"/>
    </xf>
    <xf numFmtId="170" fontId="5" fillId="0" borderId="22" xfId="5" applyNumberFormat="1" applyFont="1" applyBorder="1" applyAlignment="1">
      <alignment horizontal="right" vertical="top"/>
    </xf>
    <xf numFmtId="0" fontId="6" fillId="0" borderId="24" xfId="0" applyFont="1" applyBorder="1" applyAlignment="1">
      <alignment horizontal="center" vertical="center"/>
    </xf>
    <xf numFmtId="168" fontId="6" fillId="0" borderId="24" xfId="4" applyNumberFormat="1" applyFont="1" applyBorder="1" applyAlignment="1">
      <alignment horizontal="right" vertical="top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168" fontId="6" fillId="0" borderId="24" xfId="6" applyNumberFormat="1" applyFont="1" applyBorder="1" applyAlignment="1">
      <alignment horizontal="right" vertical="center"/>
    </xf>
  </cellXfs>
  <cellStyles count="7">
    <cellStyle name="Normal" xfId="0" builtinId="0"/>
    <cellStyle name="Normal_ANOVA" xfId="4" xr:uid="{2799C899-FEB9-4A88-93B5-8E71E8D9854B}"/>
    <cellStyle name="Normal_Post Hoc" xfId="5" xr:uid="{2D85FEB4-B1F4-445C-8752-664FF9E9C019}"/>
    <cellStyle name="Normal_Sheet1" xfId="1" xr:uid="{9F8123E1-D974-4997-97F2-7975AF064198}"/>
    <cellStyle name="Normal_Sheet2" xfId="2" xr:uid="{3DEC409C-E10C-4713-908C-1E15F8BF021C}"/>
    <cellStyle name="Normal_Sheet3" xfId="3" xr:uid="{0CB3A2C1-EEB0-462E-AAF2-0D21635A2BCF}"/>
    <cellStyle name="Normal_Tabel 4.1" xfId="6" xr:uid="{B9AEF099-981D-4485-BCD5-B89A9D7307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F337-49E5-489B-A4F4-48F2854CA60C}">
  <dimension ref="A1:O5"/>
  <sheetViews>
    <sheetView workbookViewId="0">
      <selection activeCell="K11" sqref="K11"/>
    </sheetView>
  </sheetViews>
  <sheetFormatPr defaultRowHeight="14.5" x14ac:dyDescent="0.35"/>
  <cols>
    <col min="9" max="9" width="5.7265625" bestFit="1" customWidth="1"/>
    <col min="10" max="10" width="10.453125" bestFit="1" customWidth="1"/>
    <col min="11" max="11" width="7.36328125" bestFit="1" customWidth="1"/>
    <col min="12" max="12" width="11.1796875" bestFit="1" customWidth="1"/>
    <col min="13" max="13" width="10.453125" bestFit="1" customWidth="1"/>
    <col min="14" max="14" width="7.36328125" bestFit="1" customWidth="1"/>
    <col min="15" max="15" width="11.1796875" bestFit="1" customWidth="1"/>
  </cols>
  <sheetData>
    <row r="1" spans="1:15" ht="15.5" x14ac:dyDescent="0.35">
      <c r="A1" s="1" t="s">
        <v>1</v>
      </c>
      <c r="B1" s="1"/>
      <c r="C1" s="1"/>
      <c r="D1" s="1"/>
      <c r="E1" s="1"/>
      <c r="F1" s="1"/>
      <c r="G1" s="1"/>
      <c r="H1" s="2"/>
      <c r="I1" s="132" t="s">
        <v>25</v>
      </c>
      <c r="J1" s="133" t="s">
        <v>57</v>
      </c>
      <c r="K1" s="133"/>
      <c r="L1" s="133"/>
      <c r="M1" s="133" t="s">
        <v>2</v>
      </c>
      <c r="N1" s="133"/>
      <c r="O1" s="133"/>
    </row>
    <row r="2" spans="1:15" ht="15.5" x14ac:dyDescent="0.35">
      <c r="A2" s="3" t="s">
        <v>0</v>
      </c>
      <c r="B2" s="4" t="s">
        <v>8</v>
      </c>
      <c r="C2" s="5"/>
      <c r="D2" s="6"/>
      <c r="E2" s="6" t="s">
        <v>2</v>
      </c>
      <c r="F2" s="5"/>
      <c r="G2" s="6"/>
      <c r="H2" s="2"/>
      <c r="I2" s="134"/>
      <c r="J2" s="135" t="s">
        <v>58</v>
      </c>
      <c r="K2" s="135" t="s">
        <v>55</v>
      </c>
      <c r="L2" s="135" t="s">
        <v>59</v>
      </c>
      <c r="M2" s="135" t="s">
        <v>58</v>
      </c>
      <c r="N2" s="135" t="s">
        <v>55</v>
      </c>
      <c r="O2" s="135" t="s">
        <v>59</v>
      </c>
    </row>
    <row r="3" spans="1:15" ht="31" x14ac:dyDescent="0.35">
      <c r="A3" s="7"/>
      <c r="B3" s="8" t="s">
        <v>3</v>
      </c>
      <c r="C3" s="9" t="s">
        <v>4</v>
      </c>
      <c r="D3" s="10" t="s">
        <v>5</v>
      </c>
      <c r="E3" s="9" t="s">
        <v>3</v>
      </c>
      <c r="F3" s="9" t="s">
        <v>4</v>
      </c>
      <c r="G3" s="10" t="s">
        <v>5</v>
      </c>
      <c r="H3" s="2"/>
      <c r="I3" s="130" t="s">
        <v>26</v>
      </c>
      <c r="J3" s="137">
        <f>B4</f>
        <v>0.30806160280861306</v>
      </c>
      <c r="K3" s="137">
        <f>D4</f>
        <v>2.5531278789969002E-5</v>
      </c>
      <c r="L3" s="136" t="str">
        <f>IF(K3&lt;0.05,"Tidak Normal","Normal")</f>
        <v>Tidak Normal</v>
      </c>
      <c r="M3" s="137">
        <f>E4</f>
        <v>0.51581811115755227</v>
      </c>
      <c r="N3" s="137">
        <f>G4</f>
        <v>4.4336214789470669E-7</v>
      </c>
      <c r="O3" s="136" t="str">
        <f t="shared" ref="O3" si="0">IF(N3&lt;0.05,"Tidak Normal","Normal")</f>
        <v>Tidak Normal</v>
      </c>
    </row>
    <row r="4" spans="1:15" x14ac:dyDescent="0.35">
      <c r="A4" s="11" t="s">
        <v>6</v>
      </c>
      <c r="B4" s="12">
        <v>0.30806160280861306</v>
      </c>
      <c r="C4" s="13">
        <v>20</v>
      </c>
      <c r="D4" s="14">
        <v>2.5531278789969002E-5</v>
      </c>
      <c r="E4" s="15">
        <v>0.51581811115755227</v>
      </c>
      <c r="F4" s="13">
        <v>20</v>
      </c>
      <c r="G4" s="14">
        <v>4.4336214789470669E-7</v>
      </c>
      <c r="H4" s="2"/>
    </row>
    <row r="5" spans="1:15" x14ac:dyDescent="0.35">
      <c r="A5" s="16" t="s">
        <v>7</v>
      </c>
      <c r="B5" s="16"/>
      <c r="C5" s="16"/>
      <c r="D5" s="16"/>
      <c r="E5" s="16"/>
      <c r="F5" s="16"/>
      <c r="G5" s="16"/>
      <c r="H5" s="2"/>
    </row>
  </sheetData>
  <mergeCells count="8">
    <mergeCell ref="J1:L1"/>
    <mergeCell ref="M1:O1"/>
    <mergeCell ref="A1:G1"/>
    <mergeCell ref="A2:A3"/>
    <mergeCell ref="B2:D2"/>
    <mergeCell ref="E2:G2"/>
    <mergeCell ref="A5:G5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343B-D222-4973-9E65-7DB745321B6E}">
  <dimension ref="A1:K15"/>
  <sheetViews>
    <sheetView workbookViewId="0">
      <selection activeCell="I13" sqref="I13"/>
    </sheetView>
  </sheetViews>
  <sheetFormatPr defaultRowHeight="14.5" x14ac:dyDescent="0.35"/>
  <cols>
    <col min="9" max="9" width="5.7265625" bestFit="1" customWidth="1"/>
    <col min="10" max="10" width="6.81640625" bestFit="1" customWidth="1"/>
    <col min="11" max="11" width="14.6328125" bestFit="1" customWidth="1"/>
  </cols>
  <sheetData>
    <row r="1" spans="1:11" ht="15.5" x14ac:dyDescent="0.35">
      <c r="A1" s="17" t="s">
        <v>9</v>
      </c>
      <c r="B1" s="17"/>
      <c r="C1" s="17"/>
      <c r="D1" s="17"/>
      <c r="E1" s="17"/>
      <c r="F1" s="18"/>
      <c r="I1" s="40" t="s">
        <v>25</v>
      </c>
      <c r="J1" s="40" t="s">
        <v>27</v>
      </c>
      <c r="K1" s="40" t="s">
        <v>28</v>
      </c>
    </row>
    <row r="2" spans="1:11" ht="15.5" x14ac:dyDescent="0.35">
      <c r="A2" s="19" t="s">
        <v>0</v>
      </c>
      <c r="B2" s="19"/>
      <c r="C2" s="19"/>
      <c r="D2" s="20" t="s">
        <v>3</v>
      </c>
      <c r="E2" s="21" t="s">
        <v>10</v>
      </c>
      <c r="F2" s="18"/>
      <c r="I2" s="40" t="s">
        <v>26</v>
      </c>
      <c r="J2" s="41">
        <v>5.6995525486495167</v>
      </c>
      <c r="K2" s="42">
        <v>10.475373118475293</v>
      </c>
    </row>
    <row r="3" spans="1:11" x14ac:dyDescent="0.35">
      <c r="A3" s="22" t="s">
        <v>6</v>
      </c>
      <c r="B3" s="22" t="s">
        <v>11</v>
      </c>
      <c r="C3" s="22"/>
      <c r="D3" s="23">
        <v>5.6995525486495167</v>
      </c>
      <c r="E3" s="24">
        <v>2.3423646382584713</v>
      </c>
      <c r="F3" s="18"/>
    </row>
    <row r="4" spans="1:11" ht="23" x14ac:dyDescent="0.35">
      <c r="A4" s="25"/>
      <c r="B4" s="26" t="s">
        <v>12</v>
      </c>
      <c r="C4" s="27" t="s">
        <v>13</v>
      </c>
      <c r="D4" s="28">
        <v>0.79692701657928122</v>
      </c>
      <c r="E4" s="29"/>
      <c r="F4" s="18"/>
    </row>
    <row r="5" spans="1:11" ht="23" x14ac:dyDescent="0.35">
      <c r="A5" s="25"/>
      <c r="B5" s="26"/>
      <c r="C5" s="30" t="s">
        <v>14</v>
      </c>
      <c r="D5" s="31">
        <v>10.602178080719753</v>
      </c>
      <c r="E5" s="32"/>
      <c r="F5" s="18"/>
    </row>
    <row r="6" spans="1:11" x14ac:dyDescent="0.35">
      <c r="A6" s="25"/>
      <c r="B6" s="26" t="s">
        <v>15</v>
      </c>
      <c r="C6" s="26"/>
      <c r="D6" s="31">
        <v>3.7000883404470448</v>
      </c>
      <c r="E6" s="32"/>
      <c r="F6" s="18"/>
    </row>
    <row r="7" spans="1:11" x14ac:dyDescent="0.35">
      <c r="A7" s="25"/>
      <c r="B7" s="26" t="s">
        <v>16</v>
      </c>
      <c r="C7" s="26"/>
      <c r="D7" s="31">
        <v>1.8460777826636812</v>
      </c>
      <c r="E7" s="32"/>
      <c r="F7" s="18"/>
    </row>
    <row r="8" spans="1:11" x14ac:dyDescent="0.35">
      <c r="A8" s="25"/>
      <c r="B8" s="26" t="s">
        <v>17</v>
      </c>
      <c r="C8" s="26"/>
      <c r="D8" s="33">
        <v>109.73344197127479</v>
      </c>
      <c r="E8" s="32"/>
      <c r="F8" s="18"/>
    </row>
    <row r="9" spans="1:11" x14ac:dyDescent="0.35">
      <c r="A9" s="25"/>
      <c r="B9" s="26" t="s">
        <v>18</v>
      </c>
      <c r="C9" s="26"/>
      <c r="D9" s="34">
        <v>10.475373118475293</v>
      </c>
      <c r="E9" s="32"/>
      <c r="F9" s="18"/>
    </row>
    <row r="10" spans="1:11" x14ac:dyDescent="0.35">
      <c r="A10" s="25"/>
      <c r="B10" s="26" t="s">
        <v>19</v>
      </c>
      <c r="C10" s="26"/>
      <c r="D10" s="35">
        <v>0.24553489881584864</v>
      </c>
      <c r="E10" s="32"/>
      <c r="F10" s="18"/>
    </row>
    <row r="11" spans="1:11" x14ac:dyDescent="0.35">
      <c r="A11" s="25"/>
      <c r="B11" s="26" t="s">
        <v>20</v>
      </c>
      <c r="C11" s="26"/>
      <c r="D11" s="35">
        <v>47.143925946127659</v>
      </c>
      <c r="E11" s="32"/>
      <c r="F11" s="18"/>
    </row>
    <row r="12" spans="1:11" x14ac:dyDescent="0.35">
      <c r="A12" s="25"/>
      <c r="B12" s="26" t="s">
        <v>21</v>
      </c>
      <c r="C12" s="26"/>
      <c r="D12" s="35">
        <v>46.898391047311812</v>
      </c>
      <c r="E12" s="32"/>
      <c r="F12" s="18"/>
    </row>
    <row r="13" spans="1:11" x14ac:dyDescent="0.35">
      <c r="A13" s="25"/>
      <c r="B13" s="26" t="s">
        <v>22</v>
      </c>
      <c r="C13" s="26"/>
      <c r="D13" s="35">
        <v>6.5356940991344477</v>
      </c>
      <c r="E13" s="32"/>
      <c r="F13" s="18"/>
    </row>
    <row r="14" spans="1:11" x14ac:dyDescent="0.35">
      <c r="A14" s="25"/>
      <c r="B14" s="26" t="s">
        <v>23</v>
      </c>
      <c r="C14" s="26"/>
      <c r="D14" s="33">
        <v>3.5897116435773886</v>
      </c>
      <c r="E14" s="36">
        <v>0.51210333670775743</v>
      </c>
      <c r="F14" s="18"/>
    </row>
    <row r="15" spans="1:11" x14ac:dyDescent="0.35">
      <c r="A15" s="37"/>
      <c r="B15" s="37" t="s">
        <v>24</v>
      </c>
      <c r="C15" s="37"/>
      <c r="D15" s="38">
        <v>14.220368238045589</v>
      </c>
      <c r="E15" s="39">
        <v>0.99238361254184504</v>
      </c>
      <c r="F15" s="18"/>
    </row>
  </sheetData>
  <mergeCells count="15">
    <mergeCell ref="B11:C11"/>
    <mergeCell ref="B12:C12"/>
    <mergeCell ref="B13:C13"/>
    <mergeCell ref="B14:C14"/>
    <mergeCell ref="B15:C15"/>
    <mergeCell ref="A1:E1"/>
    <mergeCell ref="A2:C2"/>
    <mergeCell ref="A3:A15"/>
    <mergeCell ref="B3:C3"/>
    <mergeCell ref="B4:B5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A1B3-D285-42F0-93C0-21AFF133C6D9}">
  <dimension ref="A1:S5"/>
  <sheetViews>
    <sheetView topLeftCell="D1" workbookViewId="0">
      <selection activeCell="K5" sqref="K5"/>
    </sheetView>
  </sheetViews>
  <sheetFormatPr defaultRowHeight="14.5" x14ac:dyDescent="0.35"/>
  <sheetData>
    <row r="1" spans="1:19" ht="15.5" x14ac:dyDescent="0.35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4"/>
      <c r="L1" s="62" t="s">
        <v>25</v>
      </c>
      <c r="M1" s="63" t="s">
        <v>29</v>
      </c>
      <c r="N1" s="63"/>
      <c r="O1" s="63"/>
      <c r="P1" s="63"/>
      <c r="Q1" s="63"/>
      <c r="R1" s="63"/>
      <c r="S1" s="63"/>
    </row>
    <row r="2" spans="1:19" ht="15.5" x14ac:dyDescent="0.35">
      <c r="A2" s="45" t="s">
        <v>0</v>
      </c>
      <c r="B2" s="45"/>
      <c r="C2" s="46" t="s">
        <v>29</v>
      </c>
      <c r="D2" s="47"/>
      <c r="E2" s="47"/>
      <c r="F2" s="47"/>
      <c r="G2" s="47"/>
      <c r="H2" s="47"/>
      <c r="I2" s="48"/>
      <c r="J2" s="44"/>
      <c r="L2" s="64"/>
      <c r="M2" s="65" t="s">
        <v>30</v>
      </c>
      <c r="N2" s="65" t="s">
        <v>31</v>
      </c>
      <c r="O2" s="65" t="s">
        <v>32</v>
      </c>
      <c r="P2" s="65" t="s">
        <v>33</v>
      </c>
      <c r="Q2" s="65" t="s">
        <v>34</v>
      </c>
      <c r="R2" s="65" t="s">
        <v>35</v>
      </c>
      <c r="S2" s="65" t="s">
        <v>36</v>
      </c>
    </row>
    <row r="3" spans="1:19" ht="15.5" x14ac:dyDescent="0.35">
      <c r="A3" s="49"/>
      <c r="B3" s="49"/>
      <c r="C3" s="50" t="s">
        <v>30</v>
      </c>
      <c r="D3" s="51" t="s">
        <v>31</v>
      </c>
      <c r="E3" s="51" t="s">
        <v>32</v>
      </c>
      <c r="F3" s="51" t="s">
        <v>33</v>
      </c>
      <c r="G3" s="51" t="s">
        <v>34</v>
      </c>
      <c r="H3" s="51" t="s">
        <v>35</v>
      </c>
      <c r="I3" s="52" t="s">
        <v>36</v>
      </c>
      <c r="J3" s="44"/>
      <c r="L3" s="66" t="s">
        <v>26</v>
      </c>
      <c r="M3" s="67">
        <v>0.24816451477918908</v>
      </c>
      <c r="N3" s="67">
        <v>0.35868976894950022</v>
      </c>
      <c r="O3" s="67">
        <v>1</v>
      </c>
      <c r="P3" s="67">
        <v>1.8460777826636812</v>
      </c>
      <c r="Q3" s="67">
        <v>7.5356940991344477</v>
      </c>
      <c r="R3" s="67">
        <v>13.126761063402602</v>
      </c>
      <c r="S3" s="67">
        <v>45.461314537021345</v>
      </c>
    </row>
    <row r="4" spans="1:19" ht="34.5" x14ac:dyDescent="0.35">
      <c r="A4" s="53" t="s">
        <v>37</v>
      </c>
      <c r="B4" s="53" t="s">
        <v>6</v>
      </c>
      <c r="C4" s="54">
        <v>0.24816451477918908</v>
      </c>
      <c r="D4" s="55">
        <v>0.35868976894950022</v>
      </c>
      <c r="E4" s="55">
        <v>1</v>
      </c>
      <c r="F4" s="55">
        <v>1.8460777826636812</v>
      </c>
      <c r="G4" s="55">
        <v>7.5356940991344477</v>
      </c>
      <c r="H4" s="55">
        <v>13.126761063402602</v>
      </c>
      <c r="I4" s="56">
        <v>45.461314537021345</v>
      </c>
      <c r="J4" s="44"/>
    </row>
    <row r="5" spans="1:19" ht="23" x14ac:dyDescent="0.35">
      <c r="A5" s="57" t="s">
        <v>38</v>
      </c>
      <c r="B5" s="57" t="s">
        <v>6</v>
      </c>
      <c r="C5" s="58"/>
      <c r="D5" s="59"/>
      <c r="E5" s="60">
        <v>1</v>
      </c>
      <c r="F5" s="60">
        <v>1.8460777826636812</v>
      </c>
      <c r="G5" s="60">
        <v>7.2414549950893861</v>
      </c>
      <c r="H5" s="59"/>
      <c r="I5" s="61"/>
      <c r="J5" s="44"/>
    </row>
  </sheetData>
  <mergeCells count="5">
    <mergeCell ref="A1:I1"/>
    <mergeCell ref="A2:B3"/>
    <mergeCell ref="C2:I2"/>
    <mergeCell ref="M1:S1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8229-8F3D-4F78-BBA0-AA0420163215}">
  <dimension ref="A1:L6"/>
  <sheetViews>
    <sheetView workbookViewId="0">
      <selection activeCell="L6" sqref="L6"/>
    </sheetView>
  </sheetViews>
  <sheetFormatPr defaultRowHeight="14.5" x14ac:dyDescent="0.35"/>
  <cols>
    <col min="9" max="9" width="7.453125" bestFit="1" customWidth="1"/>
    <col min="10" max="10" width="8.453125" bestFit="1" customWidth="1"/>
    <col min="11" max="11" width="7.36328125" bestFit="1" customWidth="1"/>
    <col min="12" max="12" width="20" bestFit="1" customWidth="1"/>
  </cols>
  <sheetData>
    <row r="1" spans="1:12" ht="15.5" x14ac:dyDescent="0.35">
      <c r="A1" s="68" t="s">
        <v>39</v>
      </c>
      <c r="B1" s="68"/>
      <c r="C1" s="68"/>
      <c r="D1" s="68"/>
      <c r="E1" s="68"/>
      <c r="F1" s="68"/>
      <c r="G1" s="69"/>
      <c r="I1" s="130" t="s">
        <v>53</v>
      </c>
      <c r="J1" s="130" t="s">
        <v>54</v>
      </c>
      <c r="K1" s="130" t="s">
        <v>55</v>
      </c>
      <c r="L1" s="130" t="s">
        <v>56</v>
      </c>
    </row>
    <row r="2" spans="1:12" ht="15.5" x14ac:dyDescent="0.35">
      <c r="A2" s="70" t="s">
        <v>6</v>
      </c>
      <c r="B2" s="71"/>
      <c r="C2" s="71"/>
      <c r="D2" s="71"/>
      <c r="E2" s="71"/>
      <c r="F2" s="71"/>
      <c r="G2" s="69"/>
      <c r="I2" s="130" t="s">
        <v>26</v>
      </c>
      <c r="J2" s="131">
        <v>1.3774149621983041</v>
      </c>
      <c r="K2" s="131">
        <v>0.28557500376652056</v>
      </c>
      <c r="L2" s="130" t="str">
        <f t="shared" ref="L2" si="0">IF(K2&gt;0.05,"Tidak Ada Perbedaan","Ada Perbedaan")</f>
        <v>Tidak Ada Perbedaan</v>
      </c>
    </row>
    <row r="3" spans="1:12" ht="24" x14ac:dyDescent="0.35">
      <c r="A3" s="72" t="s">
        <v>0</v>
      </c>
      <c r="B3" s="73" t="s">
        <v>40</v>
      </c>
      <c r="C3" s="74" t="s">
        <v>4</v>
      </c>
      <c r="D3" s="74" t="s">
        <v>41</v>
      </c>
      <c r="E3" s="74" t="s">
        <v>42</v>
      </c>
      <c r="F3" s="75" t="s">
        <v>5</v>
      </c>
      <c r="G3" s="69"/>
    </row>
    <row r="4" spans="1:12" ht="23" x14ac:dyDescent="0.35">
      <c r="A4" s="76" t="s">
        <v>43</v>
      </c>
      <c r="B4" s="77">
        <v>427.943514672204</v>
      </c>
      <c r="C4" s="78">
        <v>3</v>
      </c>
      <c r="D4" s="79">
        <v>142.64783822406801</v>
      </c>
      <c r="E4" s="79">
        <v>1.3774149621983041</v>
      </c>
      <c r="F4" s="80">
        <v>0.28557500376652056</v>
      </c>
      <c r="G4" s="69"/>
    </row>
    <row r="5" spans="1:12" ht="23" x14ac:dyDescent="0.35">
      <c r="A5" s="81" t="s">
        <v>44</v>
      </c>
      <c r="B5" s="82">
        <v>1656.9918827820165</v>
      </c>
      <c r="C5" s="83">
        <v>16</v>
      </c>
      <c r="D5" s="84">
        <v>103.56199267387603</v>
      </c>
      <c r="E5" s="85"/>
      <c r="F5" s="86"/>
      <c r="G5" s="69"/>
    </row>
    <row r="6" spans="1:12" x14ac:dyDescent="0.35">
      <c r="A6" s="87" t="s">
        <v>45</v>
      </c>
      <c r="B6" s="88">
        <v>2084.9353974542205</v>
      </c>
      <c r="C6" s="89">
        <v>19</v>
      </c>
      <c r="D6" s="90"/>
      <c r="E6" s="90"/>
      <c r="F6" s="91"/>
      <c r="G6" s="69"/>
    </row>
  </sheetData>
  <mergeCells count="3">
    <mergeCell ref="A1:F1"/>
    <mergeCell ref="A2:F2"/>
    <mergeCell ref="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A36D-7D1A-4A04-A5D1-29D7B2C38683}">
  <dimension ref="A1:H14"/>
  <sheetViews>
    <sheetView tabSelected="1" workbookViewId="0">
      <selection activeCell="J8" sqref="J8"/>
    </sheetView>
  </sheetViews>
  <sheetFormatPr defaultRowHeight="14.5" x14ac:dyDescent="0.35"/>
  <sheetData>
    <row r="1" spans="1:8" x14ac:dyDescent="0.35">
      <c r="A1" s="93" t="s">
        <v>46</v>
      </c>
      <c r="B1" s="93"/>
      <c r="C1" s="94" t="s">
        <v>47</v>
      </c>
      <c r="D1" s="95" t="s">
        <v>10</v>
      </c>
      <c r="E1" s="95" t="s">
        <v>5</v>
      </c>
      <c r="F1" s="95" t="s">
        <v>48</v>
      </c>
      <c r="G1" s="96"/>
      <c r="H1" s="92"/>
    </row>
    <row r="2" spans="1:8" ht="24" x14ac:dyDescent="0.35">
      <c r="A2" s="97"/>
      <c r="B2" s="97"/>
      <c r="C2" s="98"/>
      <c r="D2" s="99"/>
      <c r="E2" s="99"/>
      <c r="F2" s="100" t="s">
        <v>13</v>
      </c>
      <c r="G2" s="101" t="s">
        <v>14</v>
      </c>
      <c r="H2" s="92"/>
    </row>
    <row r="3" spans="1:8" ht="23" x14ac:dyDescent="0.35">
      <c r="A3" s="102" t="s">
        <v>49</v>
      </c>
      <c r="B3" s="103" t="s">
        <v>50</v>
      </c>
      <c r="C3" s="104">
        <v>-9.6251250422255765</v>
      </c>
      <c r="D3" s="105">
        <v>6.4362098372839283</v>
      </c>
      <c r="E3" s="106">
        <v>0.46280393516994722</v>
      </c>
      <c r="F3" s="107">
        <v>-28.039249084332802</v>
      </c>
      <c r="G3" s="108">
        <v>8.7889989998816489</v>
      </c>
      <c r="H3" s="92"/>
    </row>
    <row r="4" spans="1:8" ht="23" x14ac:dyDescent="0.35">
      <c r="A4" s="109"/>
      <c r="B4" s="110" t="s">
        <v>51</v>
      </c>
      <c r="C4" s="111">
        <v>-0.97469957048955713</v>
      </c>
      <c r="D4" s="112">
        <v>6.4362098372839283</v>
      </c>
      <c r="E4" s="113">
        <v>0.99870834424188226</v>
      </c>
      <c r="F4" s="114">
        <v>-19.388823612596781</v>
      </c>
      <c r="G4" s="115">
        <v>17.43942447161767</v>
      </c>
      <c r="H4" s="92"/>
    </row>
    <row r="5" spans="1:8" ht="23" x14ac:dyDescent="0.35">
      <c r="A5" s="116"/>
      <c r="B5" s="117" t="s">
        <v>52</v>
      </c>
      <c r="C5" s="118">
        <v>2.7327951939609774</v>
      </c>
      <c r="D5" s="119">
        <v>6.4362098372839283</v>
      </c>
      <c r="E5" s="120">
        <v>0.97343005660821547</v>
      </c>
      <c r="F5" s="121">
        <v>-15.681328848146247</v>
      </c>
      <c r="G5" s="122">
        <v>21.146919236068204</v>
      </c>
      <c r="H5" s="92"/>
    </row>
    <row r="6" spans="1:8" ht="23" x14ac:dyDescent="0.35">
      <c r="A6" s="116" t="s">
        <v>50</v>
      </c>
      <c r="B6" s="110" t="s">
        <v>49</v>
      </c>
      <c r="C6" s="111">
        <v>9.6251250422255765</v>
      </c>
      <c r="D6" s="112">
        <v>6.4362098372839283</v>
      </c>
      <c r="E6" s="113">
        <v>0.46280393516994722</v>
      </c>
      <c r="F6" s="114">
        <v>-8.7889989998816489</v>
      </c>
      <c r="G6" s="115">
        <v>28.039249084332802</v>
      </c>
      <c r="H6" s="92"/>
    </row>
    <row r="7" spans="1:8" ht="23" x14ac:dyDescent="0.35">
      <c r="A7" s="109"/>
      <c r="B7" s="110" t="s">
        <v>51</v>
      </c>
      <c r="C7" s="111">
        <v>8.6504254717360176</v>
      </c>
      <c r="D7" s="112">
        <v>6.4362098372839283</v>
      </c>
      <c r="E7" s="113">
        <v>0.5499378111451183</v>
      </c>
      <c r="F7" s="114">
        <v>-9.7636985703712078</v>
      </c>
      <c r="G7" s="115">
        <v>27.064549513843243</v>
      </c>
      <c r="H7" s="92"/>
    </row>
    <row r="8" spans="1:8" ht="23" x14ac:dyDescent="0.35">
      <c r="A8" s="116"/>
      <c r="B8" s="117" t="s">
        <v>52</v>
      </c>
      <c r="C8" s="118">
        <v>12.357920236186553</v>
      </c>
      <c r="D8" s="119">
        <v>6.4362098372839283</v>
      </c>
      <c r="E8" s="120">
        <v>0.25886721317674521</v>
      </c>
      <c r="F8" s="121">
        <v>-6.0562038059206724</v>
      </c>
      <c r="G8" s="122">
        <v>30.772044278293777</v>
      </c>
      <c r="H8" s="92"/>
    </row>
    <row r="9" spans="1:8" ht="23" x14ac:dyDescent="0.35">
      <c r="A9" s="116" t="s">
        <v>51</v>
      </c>
      <c r="B9" s="110" t="s">
        <v>49</v>
      </c>
      <c r="C9" s="111">
        <v>0.97469957048955713</v>
      </c>
      <c r="D9" s="112">
        <v>6.4362098372839283</v>
      </c>
      <c r="E9" s="113">
        <v>0.99870834424188226</v>
      </c>
      <c r="F9" s="114">
        <v>-17.43942447161767</v>
      </c>
      <c r="G9" s="115">
        <v>19.388823612596781</v>
      </c>
      <c r="H9" s="92"/>
    </row>
    <row r="10" spans="1:8" ht="23" x14ac:dyDescent="0.35">
      <c r="A10" s="109"/>
      <c r="B10" s="110" t="s">
        <v>50</v>
      </c>
      <c r="C10" s="111">
        <v>-8.6504254717360176</v>
      </c>
      <c r="D10" s="112">
        <v>6.4362098372839283</v>
      </c>
      <c r="E10" s="113">
        <v>0.5499378111451183</v>
      </c>
      <c r="F10" s="114">
        <v>-27.064549513843243</v>
      </c>
      <c r="G10" s="115">
        <v>9.7636985703712078</v>
      </c>
      <c r="H10" s="92"/>
    </row>
    <row r="11" spans="1:8" ht="23" x14ac:dyDescent="0.35">
      <c r="A11" s="116"/>
      <c r="B11" s="117" t="s">
        <v>52</v>
      </c>
      <c r="C11" s="118">
        <v>3.7074947644505345</v>
      </c>
      <c r="D11" s="119">
        <v>6.4362098372839283</v>
      </c>
      <c r="E11" s="120">
        <v>0.93782478937798919</v>
      </c>
      <c r="F11" s="121">
        <v>-14.706629277656692</v>
      </c>
      <c r="G11" s="122">
        <v>22.121618806557759</v>
      </c>
      <c r="H11" s="92"/>
    </row>
    <row r="12" spans="1:8" ht="23" x14ac:dyDescent="0.35">
      <c r="A12" s="116" t="s">
        <v>52</v>
      </c>
      <c r="B12" s="110" t="s">
        <v>49</v>
      </c>
      <c r="C12" s="111">
        <v>-2.7327951939609774</v>
      </c>
      <c r="D12" s="112">
        <v>6.4362098372839283</v>
      </c>
      <c r="E12" s="113">
        <v>0.97343005660821547</v>
      </c>
      <c r="F12" s="114">
        <v>-21.146919236068204</v>
      </c>
      <c r="G12" s="115">
        <v>15.681328848146247</v>
      </c>
      <c r="H12" s="92"/>
    </row>
    <row r="13" spans="1:8" ht="23" x14ac:dyDescent="0.35">
      <c r="A13" s="109"/>
      <c r="B13" s="110" t="s">
        <v>50</v>
      </c>
      <c r="C13" s="111">
        <v>-12.357920236186553</v>
      </c>
      <c r="D13" s="112">
        <v>6.4362098372839283</v>
      </c>
      <c r="E13" s="113">
        <v>0.25886721317674521</v>
      </c>
      <c r="F13" s="114">
        <v>-30.772044278293777</v>
      </c>
      <c r="G13" s="115">
        <v>6.0562038059206724</v>
      </c>
      <c r="H13" s="92"/>
    </row>
    <row r="14" spans="1:8" ht="23" x14ac:dyDescent="0.35">
      <c r="A14" s="123"/>
      <c r="B14" s="124" t="s">
        <v>51</v>
      </c>
      <c r="C14" s="125">
        <v>-3.7074947644505345</v>
      </c>
      <c r="D14" s="126">
        <v>6.4362098372839283</v>
      </c>
      <c r="E14" s="127">
        <v>0.93782478937798919</v>
      </c>
      <c r="F14" s="128">
        <v>-22.121618806557759</v>
      </c>
      <c r="G14" s="129">
        <v>14.706629277656692</v>
      </c>
      <c r="H14" s="92"/>
    </row>
  </sheetData>
  <mergeCells count="9">
    <mergeCell ref="A3:A5"/>
    <mergeCell ref="A6:A8"/>
    <mergeCell ref="A9:A11"/>
    <mergeCell ref="A12:A14"/>
    <mergeCell ref="A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Normality</vt:lpstr>
      <vt:lpstr>Mean and SD</vt:lpstr>
      <vt:lpstr>Percentiles</vt:lpstr>
      <vt:lpstr>ANOVA</vt:lpstr>
      <vt:lpstr>Post 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2025-05-08T15:33:04Z</dcterms:created>
  <dcterms:modified xsi:type="dcterms:W3CDTF">2025-05-08T15:40:01Z</dcterms:modified>
</cp:coreProperties>
</file>