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Research Consultant\Project ANOVA, Post Hoc Test, and Kaplan Meier in SPSS\"/>
    </mc:Choice>
  </mc:AlternateContent>
  <xr:revisionPtr revIDLastSave="0" documentId="13_ncr:1_{6057639D-3838-4133-8FE0-58695A235FFB}" xr6:coauthVersionLast="47" xr6:coauthVersionMax="47" xr10:uidLastSave="{00000000-0000-0000-0000-000000000000}"/>
  <bookViews>
    <workbookView xWindow="-110" yWindow="-110" windowWidth="19420" windowHeight="10300" activeTab="2" xr2:uid="{3B487282-9CDE-4BE0-B2FB-D6D9B4AE4E50}"/>
  </bookViews>
  <sheets>
    <sheet name="GFAP" sheetId="1" r:id="rId1"/>
    <sheet name="GFAP (2)" sheetId="2" r:id="rId2"/>
    <sheet name="Syndecan" sheetId="3" r:id="rId3"/>
    <sheet name="Syndecan (2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6" i="4" l="1"/>
  <c r="H26" i="4"/>
  <c r="K25" i="4"/>
  <c r="H25" i="4"/>
  <c r="K24" i="4"/>
  <c r="H24" i="4"/>
  <c r="K23" i="4"/>
  <c r="H23" i="4"/>
  <c r="K22" i="4"/>
  <c r="H22" i="4"/>
  <c r="K21" i="4"/>
  <c r="H21" i="4"/>
  <c r="K20" i="4"/>
  <c r="H20" i="4"/>
  <c r="K19" i="4"/>
  <c r="H19" i="4"/>
  <c r="K18" i="4"/>
  <c r="H18" i="4"/>
  <c r="K17" i="4"/>
  <c r="H17" i="4"/>
  <c r="K16" i="4"/>
  <c r="H16" i="4"/>
  <c r="K15" i="4"/>
  <c r="H15" i="4"/>
  <c r="K14" i="4"/>
  <c r="H14" i="4"/>
  <c r="K13" i="4"/>
  <c r="H13" i="4"/>
  <c r="K12" i="4"/>
  <c r="H12" i="4"/>
  <c r="K11" i="4"/>
  <c r="H11" i="4"/>
  <c r="K10" i="4"/>
  <c r="H10" i="4"/>
  <c r="K9" i="4"/>
  <c r="H9" i="4"/>
  <c r="K8" i="4"/>
  <c r="H8" i="4"/>
  <c r="K7" i="4"/>
  <c r="H7" i="4"/>
  <c r="K6" i="4"/>
  <c r="H6" i="4"/>
  <c r="K5" i="4"/>
  <c r="H5" i="4"/>
  <c r="L5" i="4" s="1"/>
  <c r="K4" i="4"/>
  <c r="H4" i="4"/>
  <c r="K3" i="4"/>
  <c r="H3" i="4"/>
  <c r="K2" i="4"/>
  <c r="H2" i="4"/>
  <c r="K26" i="3"/>
  <c r="H26" i="3"/>
  <c r="K25" i="3"/>
  <c r="H25" i="3"/>
  <c r="K24" i="3"/>
  <c r="L24" i="3" s="1"/>
  <c r="M24" i="3" s="1"/>
  <c r="N24" i="3" s="1"/>
  <c r="H24" i="3"/>
  <c r="K23" i="3"/>
  <c r="H23" i="3"/>
  <c r="L23" i="3" s="1"/>
  <c r="M23" i="3" s="1"/>
  <c r="N23" i="3" s="1"/>
  <c r="K22" i="3"/>
  <c r="H22" i="3"/>
  <c r="K21" i="3"/>
  <c r="H21" i="3"/>
  <c r="K20" i="3"/>
  <c r="L20" i="3" s="1"/>
  <c r="H20" i="3"/>
  <c r="K19" i="3"/>
  <c r="H19" i="3"/>
  <c r="L19" i="3" s="1"/>
  <c r="K18" i="3"/>
  <c r="H18" i="3"/>
  <c r="K17" i="3"/>
  <c r="H17" i="3"/>
  <c r="K16" i="3"/>
  <c r="H16" i="3"/>
  <c r="K15" i="3"/>
  <c r="H15" i="3"/>
  <c r="K14" i="3"/>
  <c r="H14" i="3"/>
  <c r="K13" i="3"/>
  <c r="H13" i="3"/>
  <c r="K12" i="3"/>
  <c r="H12" i="3"/>
  <c r="K11" i="3"/>
  <c r="H11" i="3"/>
  <c r="K10" i="3"/>
  <c r="H10" i="3"/>
  <c r="K9" i="3"/>
  <c r="H9" i="3"/>
  <c r="K8" i="3"/>
  <c r="H8" i="3"/>
  <c r="K7" i="3"/>
  <c r="H7" i="3"/>
  <c r="K6" i="3"/>
  <c r="H6" i="3"/>
  <c r="K5" i="3"/>
  <c r="H5" i="3"/>
  <c r="L5" i="3" s="1"/>
  <c r="K4" i="3"/>
  <c r="H4" i="3"/>
  <c r="K3" i="3"/>
  <c r="L3" i="3" s="1"/>
  <c r="H3" i="3"/>
  <c r="K2" i="3"/>
  <c r="H2" i="3"/>
  <c r="K26" i="2"/>
  <c r="H26" i="2"/>
  <c r="K25" i="2"/>
  <c r="H25" i="2"/>
  <c r="K24" i="2"/>
  <c r="H24" i="2"/>
  <c r="K23" i="2"/>
  <c r="H23" i="2"/>
  <c r="K22" i="2"/>
  <c r="H22" i="2"/>
  <c r="K21" i="2"/>
  <c r="H21" i="2"/>
  <c r="K20" i="2"/>
  <c r="H20" i="2"/>
  <c r="K19" i="2"/>
  <c r="L19" i="2" s="1"/>
  <c r="M19" i="2" s="1"/>
  <c r="N19" i="2" s="1"/>
  <c r="H19" i="2"/>
  <c r="K18" i="2"/>
  <c r="H18" i="2"/>
  <c r="K17" i="2"/>
  <c r="H17" i="2"/>
  <c r="K16" i="2"/>
  <c r="H16" i="2"/>
  <c r="L16" i="2" s="1"/>
  <c r="K15" i="2"/>
  <c r="H15" i="2"/>
  <c r="K14" i="2"/>
  <c r="H14" i="2"/>
  <c r="K13" i="2"/>
  <c r="H13" i="2"/>
  <c r="K12" i="2"/>
  <c r="H12" i="2"/>
  <c r="K11" i="2"/>
  <c r="H11" i="2"/>
  <c r="K10" i="2"/>
  <c r="H10" i="2"/>
  <c r="K9" i="2"/>
  <c r="H9" i="2"/>
  <c r="K8" i="2"/>
  <c r="H8" i="2"/>
  <c r="K7" i="2"/>
  <c r="H7" i="2"/>
  <c r="K6" i="2"/>
  <c r="H6" i="2"/>
  <c r="L6" i="2" s="1"/>
  <c r="K5" i="2"/>
  <c r="H5" i="2"/>
  <c r="K4" i="2"/>
  <c r="H4" i="2"/>
  <c r="K3" i="2"/>
  <c r="H3" i="2"/>
  <c r="K2" i="2"/>
  <c r="H2" i="2"/>
  <c r="K26" i="1"/>
  <c r="L26" i="1" s="1"/>
  <c r="M26" i="1" s="1"/>
  <c r="N26" i="1" s="1"/>
  <c r="H26" i="1"/>
  <c r="K25" i="1"/>
  <c r="H25" i="1"/>
  <c r="L25" i="1" s="1"/>
  <c r="M25" i="1" s="1"/>
  <c r="N25" i="1" s="1"/>
  <c r="K24" i="1"/>
  <c r="H24" i="1"/>
  <c r="K23" i="1"/>
  <c r="L23" i="1" s="1"/>
  <c r="M23" i="1" s="1"/>
  <c r="N23" i="1" s="1"/>
  <c r="H23" i="1"/>
  <c r="K22" i="1"/>
  <c r="H22" i="1"/>
  <c r="K21" i="1"/>
  <c r="H21" i="1"/>
  <c r="K20" i="1"/>
  <c r="L20" i="1" s="1"/>
  <c r="H20" i="1"/>
  <c r="K19" i="1"/>
  <c r="H19" i="1"/>
  <c r="L19" i="1" s="1"/>
  <c r="K18" i="1"/>
  <c r="L18" i="1" s="1"/>
  <c r="H18" i="1"/>
  <c r="K17" i="1"/>
  <c r="L17" i="1" s="1"/>
  <c r="H17" i="1"/>
  <c r="K16" i="1"/>
  <c r="H16" i="1"/>
  <c r="K15" i="1"/>
  <c r="H15" i="1"/>
  <c r="K14" i="1"/>
  <c r="H14" i="1"/>
  <c r="K13" i="1"/>
  <c r="L13" i="1" s="1"/>
  <c r="H13" i="1"/>
  <c r="K12" i="1"/>
  <c r="H12" i="1"/>
  <c r="K11" i="1"/>
  <c r="H11" i="1"/>
  <c r="K10" i="1"/>
  <c r="H10" i="1"/>
  <c r="L10" i="1" s="1"/>
  <c r="L9" i="1"/>
  <c r="K9" i="1"/>
  <c r="H9" i="1"/>
  <c r="K8" i="1"/>
  <c r="H8" i="1"/>
  <c r="L8" i="1" s="1"/>
  <c r="K7" i="1"/>
  <c r="L7" i="1" s="1"/>
  <c r="H7" i="1"/>
  <c r="K6" i="1"/>
  <c r="L6" i="1" s="1"/>
  <c r="H6" i="1"/>
  <c r="K5" i="1"/>
  <c r="L5" i="1" s="1"/>
  <c r="H5" i="1"/>
  <c r="K4" i="1"/>
  <c r="H4" i="1"/>
  <c r="K3" i="1"/>
  <c r="H3" i="1"/>
  <c r="K2" i="1"/>
  <c r="L2" i="1" s="1"/>
  <c r="H2" i="1"/>
  <c r="L26" i="4" l="1"/>
  <c r="L15" i="4"/>
  <c r="L19" i="4"/>
  <c r="M19" i="4" s="1"/>
  <c r="N19" i="4" s="1"/>
  <c r="L23" i="4"/>
  <c r="L12" i="4"/>
  <c r="L25" i="4"/>
  <c r="L8" i="4"/>
  <c r="L6" i="4"/>
  <c r="L17" i="3"/>
  <c r="O22" i="3"/>
  <c r="P22" i="3" s="1"/>
  <c r="Q22" i="3" s="1"/>
  <c r="L13" i="3"/>
  <c r="L25" i="3"/>
  <c r="M25" i="3" s="1"/>
  <c r="N25" i="3" s="1"/>
  <c r="L2" i="3"/>
  <c r="L14" i="3"/>
  <c r="M14" i="3" s="1"/>
  <c r="N14" i="3" s="1"/>
  <c r="L26" i="3"/>
  <c r="M26" i="3" s="1"/>
  <c r="N26" i="3" s="1"/>
  <c r="L7" i="3"/>
  <c r="M7" i="3" s="1"/>
  <c r="N7" i="3" s="1"/>
  <c r="L15" i="3"/>
  <c r="L9" i="3"/>
  <c r="L21" i="3"/>
  <c r="L10" i="3"/>
  <c r="M10" i="3" s="1"/>
  <c r="N10" i="3" s="1"/>
  <c r="L12" i="3"/>
  <c r="L18" i="3"/>
  <c r="O12" i="3"/>
  <c r="P12" i="3" s="1"/>
  <c r="Q12" i="3" s="1"/>
  <c r="L22" i="3"/>
  <c r="M20" i="3" s="1"/>
  <c r="N20" i="3" s="1"/>
  <c r="O2" i="3"/>
  <c r="L16" i="3"/>
  <c r="L4" i="3"/>
  <c r="L6" i="3"/>
  <c r="L11" i="3"/>
  <c r="L8" i="3"/>
  <c r="M8" i="3" s="1"/>
  <c r="N8" i="3" s="1"/>
  <c r="M3" i="3"/>
  <c r="N3" i="3" s="1"/>
  <c r="L9" i="2"/>
  <c r="L4" i="2"/>
  <c r="L8" i="2"/>
  <c r="L22" i="2"/>
  <c r="L3" i="2"/>
  <c r="L23" i="2"/>
  <c r="L13" i="4"/>
  <c r="L14" i="4"/>
  <c r="O2" i="4"/>
  <c r="O7" i="4"/>
  <c r="L11" i="4"/>
  <c r="L18" i="4"/>
  <c r="M18" i="4" s="1"/>
  <c r="N18" i="4" s="1"/>
  <c r="L21" i="4"/>
  <c r="M21" i="4" s="1"/>
  <c r="N21" i="4" s="1"/>
  <c r="L10" i="4"/>
  <c r="L20" i="4"/>
  <c r="M20" i="4" s="1"/>
  <c r="N20" i="4" s="1"/>
  <c r="L3" i="4"/>
  <c r="L4" i="4"/>
  <c r="L24" i="4"/>
  <c r="L22" i="4"/>
  <c r="O22" i="4"/>
  <c r="L2" i="4"/>
  <c r="O17" i="4"/>
  <c r="P17" i="4" s="1"/>
  <c r="Q17" i="4" s="1"/>
  <c r="L9" i="4"/>
  <c r="O12" i="4"/>
  <c r="L16" i="4"/>
  <c r="L5" i="2"/>
  <c r="L24" i="2"/>
  <c r="O17" i="2"/>
  <c r="P17" i="2" s="1"/>
  <c r="Q17" i="2" s="1"/>
  <c r="L2" i="2"/>
  <c r="L21" i="2"/>
  <c r="M21" i="2" s="1"/>
  <c r="N21" i="2" s="1"/>
  <c r="L25" i="2"/>
  <c r="L10" i="2"/>
  <c r="M10" i="2" s="1"/>
  <c r="N10" i="2" s="1"/>
  <c r="L14" i="2"/>
  <c r="L18" i="2"/>
  <c r="M18" i="2" s="1"/>
  <c r="N18" i="2" s="1"/>
  <c r="L26" i="2"/>
  <c r="L12" i="2"/>
  <c r="L20" i="2"/>
  <c r="M20" i="2" s="1"/>
  <c r="N20" i="2" s="1"/>
  <c r="L13" i="2"/>
  <c r="O7" i="2"/>
  <c r="P7" i="2" s="1"/>
  <c r="Q7" i="2" s="1"/>
  <c r="L11" i="2"/>
  <c r="O12" i="2"/>
  <c r="P12" i="2" s="1"/>
  <c r="Q12" i="2" s="1"/>
  <c r="L17" i="4"/>
  <c r="M17" i="4" s="1"/>
  <c r="N17" i="4" s="1"/>
  <c r="L7" i="4"/>
  <c r="M18" i="3"/>
  <c r="N18" i="3" s="1"/>
  <c r="M5" i="3"/>
  <c r="N5" i="3" s="1"/>
  <c r="O7" i="3"/>
  <c r="O17" i="3"/>
  <c r="P17" i="3" s="1"/>
  <c r="Q17" i="3" s="1"/>
  <c r="O2" i="2"/>
  <c r="P2" i="2" s="1"/>
  <c r="Q2" i="2" s="1"/>
  <c r="L17" i="2"/>
  <c r="M17" i="2" s="1"/>
  <c r="N17" i="2" s="1"/>
  <c r="O22" i="2"/>
  <c r="P22" i="2" s="1"/>
  <c r="Q22" i="2" s="1"/>
  <c r="L7" i="2"/>
  <c r="M7" i="2" s="1"/>
  <c r="N7" i="2" s="1"/>
  <c r="L15" i="2"/>
  <c r="M18" i="1"/>
  <c r="N18" i="1" s="1"/>
  <c r="M9" i="1"/>
  <c r="N9" i="1" s="1"/>
  <c r="M10" i="1"/>
  <c r="N10" i="1" s="1"/>
  <c r="L14" i="1"/>
  <c r="O7" i="1"/>
  <c r="L15" i="1"/>
  <c r="O17" i="1"/>
  <c r="L3" i="1"/>
  <c r="L4" i="1"/>
  <c r="M4" i="1" s="1"/>
  <c r="N4" i="1" s="1"/>
  <c r="L12" i="1"/>
  <c r="M12" i="1" s="1"/>
  <c r="N12" i="1" s="1"/>
  <c r="L16" i="1"/>
  <c r="M16" i="1" s="1"/>
  <c r="N16" i="1" s="1"/>
  <c r="L22" i="1"/>
  <c r="M22" i="1" s="1"/>
  <c r="N22" i="1" s="1"/>
  <c r="L24" i="1"/>
  <c r="M24" i="1" s="1"/>
  <c r="N24" i="1" s="1"/>
  <c r="M6" i="1"/>
  <c r="N6" i="1" s="1"/>
  <c r="O2" i="1"/>
  <c r="P2" i="1" s="1"/>
  <c r="Q2" i="1" s="1"/>
  <c r="L11" i="1"/>
  <c r="M11" i="1" s="1"/>
  <c r="N11" i="1" s="1"/>
  <c r="O12" i="1"/>
  <c r="L21" i="1"/>
  <c r="O22" i="1"/>
  <c r="P22" i="1" s="1"/>
  <c r="Q22" i="1" s="1"/>
  <c r="P22" i="4" l="1"/>
  <c r="Q22" i="4" s="1"/>
  <c r="M21" i="3"/>
  <c r="N21" i="3" s="1"/>
  <c r="M11" i="3"/>
  <c r="N11" i="3" s="1"/>
  <c r="M13" i="3"/>
  <c r="N13" i="3" s="1"/>
  <c r="M9" i="3"/>
  <c r="N9" i="3" s="1"/>
  <c r="M19" i="3"/>
  <c r="N19" i="3" s="1"/>
  <c r="M4" i="3"/>
  <c r="N4" i="3" s="1"/>
  <c r="M15" i="3"/>
  <c r="N15" i="3" s="1"/>
  <c r="M16" i="3"/>
  <c r="N16" i="3" s="1"/>
  <c r="M2" i="3"/>
  <c r="N2" i="3" s="1"/>
  <c r="M12" i="3"/>
  <c r="N12" i="3" s="1"/>
  <c r="M6" i="3"/>
  <c r="N6" i="3" s="1"/>
  <c r="M22" i="3"/>
  <c r="N22" i="3" s="1"/>
  <c r="M17" i="3"/>
  <c r="N17" i="3" s="1"/>
  <c r="P7" i="3"/>
  <c r="Q7" i="3" s="1"/>
  <c r="P2" i="3"/>
  <c r="Q2" i="3" s="1"/>
  <c r="M2" i="2"/>
  <c r="N2" i="2" s="1"/>
  <c r="M14" i="2"/>
  <c r="N14" i="2" s="1"/>
  <c r="P12" i="4"/>
  <c r="Q12" i="4" s="1"/>
  <c r="P7" i="4"/>
  <c r="Q7" i="4" s="1"/>
  <c r="P2" i="4"/>
  <c r="Q2" i="4" s="1"/>
  <c r="M9" i="2"/>
  <c r="N9" i="2" s="1"/>
  <c r="M26" i="2"/>
  <c r="N26" i="2" s="1"/>
  <c r="M13" i="2"/>
  <c r="N13" i="2" s="1"/>
  <c r="M15" i="2"/>
  <c r="N15" i="2" s="1"/>
  <c r="M3" i="4"/>
  <c r="N3" i="4" s="1"/>
  <c r="M26" i="4"/>
  <c r="N26" i="4" s="1"/>
  <c r="M25" i="4"/>
  <c r="N25" i="4" s="1"/>
  <c r="M24" i="4"/>
  <c r="N24" i="4" s="1"/>
  <c r="M11" i="4"/>
  <c r="N11" i="4" s="1"/>
  <c r="M12" i="4"/>
  <c r="N12" i="4" s="1"/>
  <c r="M5" i="4"/>
  <c r="N5" i="4" s="1"/>
  <c r="M14" i="4"/>
  <c r="N14" i="4" s="1"/>
  <c r="M8" i="4"/>
  <c r="N8" i="4" s="1"/>
  <c r="M16" i="4"/>
  <c r="N16" i="4" s="1"/>
  <c r="M4" i="4"/>
  <c r="N4" i="4" s="1"/>
  <c r="M9" i="4"/>
  <c r="N9" i="4" s="1"/>
  <c r="M13" i="4"/>
  <c r="N13" i="4" s="1"/>
  <c r="M22" i="4"/>
  <c r="N22" i="4" s="1"/>
  <c r="M2" i="4"/>
  <c r="N2" i="4" s="1"/>
  <c r="M10" i="4"/>
  <c r="N10" i="4" s="1"/>
  <c r="M7" i="4"/>
  <c r="N7" i="4" s="1"/>
  <c r="M15" i="4"/>
  <c r="N15" i="4" s="1"/>
  <c r="M23" i="4"/>
  <c r="N23" i="4" s="1"/>
  <c r="M6" i="4"/>
  <c r="N6" i="4" s="1"/>
  <c r="M24" i="2"/>
  <c r="N24" i="2" s="1"/>
  <c r="M22" i="2"/>
  <c r="N22" i="2" s="1"/>
  <c r="M5" i="2"/>
  <c r="N5" i="2" s="1"/>
  <c r="M4" i="2"/>
  <c r="N4" i="2" s="1"/>
  <c r="M8" i="2"/>
  <c r="N8" i="2" s="1"/>
  <c r="M12" i="2"/>
  <c r="N12" i="2" s="1"/>
  <c r="M6" i="2"/>
  <c r="N6" i="2" s="1"/>
  <c r="M23" i="2"/>
  <c r="N23" i="2" s="1"/>
  <c r="M16" i="2"/>
  <c r="N16" i="2" s="1"/>
  <c r="M3" i="2"/>
  <c r="N3" i="2" s="1"/>
  <c r="M25" i="2"/>
  <c r="N25" i="2" s="1"/>
  <c r="M11" i="2"/>
  <c r="N11" i="2" s="1"/>
  <c r="M2" i="1"/>
  <c r="N2" i="1" s="1"/>
  <c r="M3" i="1"/>
  <c r="N3" i="1" s="1"/>
  <c r="M19" i="1"/>
  <c r="N19" i="1" s="1"/>
  <c r="M5" i="1"/>
  <c r="N5" i="1" s="1"/>
  <c r="M17" i="1"/>
  <c r="N17" i="1" s="1"/>
  <c r="M15" i="1"/>
  <c r="N15" i="1" s="1"/>
  <c r="M8" i="1"/>
  <c r="N8" i="1" s="1"/>
  <c r="M21" i="1"/>
  <c r="N21" i="1" s="1"/>
  <c r="M13" i="1"/>
  <c r="N13" i="1" s="1"/>
  <c r="M20" i="1"/>
  <c r="N20" i="1" s="1"/>
  <c r="M14" i="1"/>
  <c r="N14" i="1" s="1"/>
  <c r="M7" i="1"/>
  <c r="N7" i="1" s="1"/>
  <c r="P12" i="1"/>
  <c r="Q12" i="1" s="1"/>
  <c r="P17" i="1"/>
  <c r="Q17" i="1" s="1"/>
  <c r="P7" i="1"/>
  <c r="Q7" i="1" s="1"/>
</calcChain>
</file>

<file path=xl/sharedStrings.xml><?xml version="1.0" encoding="utf-8"?>
<sst xmlns="http://schemas.openxmlformats.org/spreadsheetml/2006/main" count="448" uniqueCount="92">
  <si>
    <t>No</t>
  </si>
  <si>
    <t>Sampel</t>
  </si>
  <si>
    <t>Kode Tikus</t>
  </si>
  <si>
    <t>Kelompok</t>
  </si>
  <si>
    <t>Keterangan pada microtube</t>
  </si>
  <si>
    <t>∆Ct</t>
  </si>
  <si>
    <t>∆∆Ct</t>
  </si>
  <si>
    <t>Gene Expressions</t>
  </si>
  <si>
    <t>PAT1</t>
  </si>
  <si>
    <t>K3.3</t>
  </si>
  <si>
    <t>CLP NACL 30</t>
  </si>
  <si>
    <t>10 CLP NaCL 30</t>
  </si>
  <si>
    <t>PAT2</t>
  </si>
  <si>
    <t>K3.4</t>
  </si>
  <si>
    <t>11 CLP NaCL 30</t>
  </si>
  <si>
    <t>PAT3</t>
  </si>
  <si>
    <t>K4.1</t>
  </si>
  <si>
    <t>12 CLP NaCL 30</t>
  </si>
  <si>
    <t>PAT4</t>
  </si>
  <si>
    <t>K4.2</t>
  </si>
  <si>
    <t>13 CLP NaCL 30</t>
  </si>
  <si>
    <t>PAT14</t>
  </si>
  <si>
    <t>K11.5</t>
  </si>
  <si>
    <t>37 NACL 30</t>
  </si>
  <si>
    <t>PAT5</t>
  </si>
  <si>
    <t>K4.3</t>
  </si>
  <si>
    <t>CLP ALB 10</t>
  </si>
  <si>
    <t>7-2 CIP ALB 10</t>
  </si>
  <si>
    <t>PAT6</t>
  </si>
  <si>
    <t>K4.4</t>
  </si>
  <si>
    <t>PAT7</t>
  </si>
  <si>
    <t>K4.5</t>
  </si>
  <si>
    <t>PAT8</t>
  </si>
  <si>
    <t>K5.1</t>
  </si>
  <si>
    <t>PAT15</t>
  </si>
  <si>
    <t>K10.3</t>
  </si>
  <si>
    <t>38 ALB 10</t>
  </si>
  <si>
    <t>PAT9</t>
  </si>
  <si>
    <t>K6.2</t>
  </si>
  <si>
    <t>CLP NACL10</t>
  </si>
  <si>
    <t>21 CLP NaCL 10</t>
  </si>
  <si>
    <t>PAT10</t>
  </si>
  <si>
    <t>K7.5</t>
  </si>
  <si>
    <t>22 CLP NaCL 10</t>
  </si>
  <si>
    <t>PAT11</t>
  </si>
  <si>
    <t>K8.1</t>
  </si>
  <si>
    <t>25 CLP NACL 10</t>
  </si>
  <si>
    <t>PAT12</t>
  </si>
  <si>
    <t>K9.4</t>
  </si>
  <si>
    <t>30 CLP NACL 10</t>
  </si>
  <si>
    <t>PAT13</t>
  </si>
  <si>
    <t>K10.2</t>
  </si>
  <si>
    <t>35 CLP NACL 10</t>
  </si>
  <si>
    <t>PAT16</t>
  </si>
  <si>
    <t>K5.2</t>
  </si>
  <si>
    <t>CLP ONLY</t>
  </si>
  <si>
    <t>PAT17</t>
  </si>
  <si>
    <t>K2.4</t>
  </si>
  <si>
    <t>PAT18</t>
  </si>
  <si>
    <t>K10.4</t>
  </si>
  <si>
    <t>PAT19</t>
  </si>
  <si>
    <t>K11.4</t>
  </si>
  <si>
    <t>PAT20</t>
  </si>
  <si>
    <t>K10.1</t>
  </si>
  <si>
    <t>PAT21</t>
  </si>
  <si>
    <t>K11.1</t>
  </si>
  <si>
    <t>KONTROL</t>
  </si>
  <si>
    <t>40 NORMAL</t>
  </si>
  <si>
    <t>PAT22</t>
  </si>
  <si>
    <t>K11.2</t>
  </si>
  <si>
    <t>41 NORMAL</t>
  </si>
  <si>
    <t>PAT23</t>
  </si>
  <si>
    <t>K11.3</t>
  </si>
  <si>
    <t>42 NORMAL</t>
  </si>
  <si>
    <t>PAT24</t>
  </si>
  <si>
    <t>K10.5</t>
  </si>
  <si>
    <t>43 NORMAL</t>
  </si>
  <si>
    <t>PAT25</t>
  </si>
  <si>
    <t>K6.5</t>
  </si>
  <si>
    <t>44 NORMAL</t>
  </si>
  <si>
    <t>GAPDH C I</t>
  </si>
  <si>
    <t>GAPDH C II</t>
  </si>
  <si>
    <t>GAPDH Mean</t>
  </si>
  <si>
    <t>GFAP C I</t>
  </si>
  <si>
    <t>GFAP C II</t>
  </si>
  <si>
    <t>GFAP Mean</t>
  </si>
  <si>
    <t>Gene Expressions Meaan</t>
  </si>
  <si>
    <t>∆∆Ct Mean</t>
  </si>
  <si>
    <t>∆Ct Mean</t>
  </si>
  <si>
    <t>Syndecan C I</t>
  </si>
  <si>
    <t>Syndecan C II</t>
  </si>
  <si>
    <t>Syndecan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</si>
</sst>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  <xf numFmtId="2" fontId="2" fillId="0" borderId="1" xfId="1" applyNumberFormat="1" applyBorder="1"/>
    <xf numFmtId="0" fontId="0" fillId="3" borderId="1" xfId="0" applyFill="1" applyBorder="1"/>
    <xf numFmtId="2" fontId="0" fillId="3" borderId="1" xfId="0" applyNumberFormat="1" applyFill="1" applyBorder="1"/>
    <xf numFmtId="49" fontId="0" fillId="3" borderId="1" xfId="0" applyNumberFormat="1" applyFill="1" applyBorder="1"/>
    <xf numFmtId="0" fontId="1" fillId="2" borderId="1" xfId="0" applyFont="1" applyFill="1" applyBorder="1" applyAlignment="1">
      <alignment vertical="center"/>
    </xf>
    <xf numFmtId="2" fontId="0" fillId="0" borderId="2" xfId="0" applyNumberFormat="1" applyBorder="1" applyAlignment="1">
      <alignment vertical="center"/>
    </xf>
    <xf numFmtId="2" fontId="0" fillId="0" borderId="3" xfId="0" applyNumberFormat="1" applyBorder="1" applyAlignment="1">
      <alignment vertical="center"/>
    </xf>
    <xf numFmtId="2" fontId="0" fillId="0" borderId="4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2" fontId="0" fillId="3" borderId="2" xfId="0" applyNumberFormat="1" applyFill="1" applyBorder="1" applyAlignment="1">
      <alignment vertical="center"/>
    </xf>
    <xf numFmtId="2" fontId="0" fillId="3" borderId="3" xfId="0" applyNumberFormat="1" applyFill="1" applyBorder="1" applyAlignment="1">
      <alignment vertical="center"/>
    </xf>
    <xf numFmtId="2" fontId="0" fillId="3" borderId="4" xfId="0" applyNumberFormat="1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2" fontId="0" fillId="3" borderId="1" xfId="0" applyNumberFormat="1" applyFill="1" applyBorder="1" applyAlignment="1">
      <alignment vertical="center"/>
    </xf>
    <xf numFmtId="0" fontId="0" fillId="3" borderId="1" xfId="0" applyFill="1" applyBorder="1" applyAlignment="1">
      <alignment vertical="center"/>
    </xf>
  </cellXfs>
  <cellStyles count="2">
    <cellStyle name="Normal" xfId="0" builtinId="0"/>
    <cellStyle name="Normal 2" xfId="1" xr:uid="{2FAB9E34-6820-4B76-A35C-3E9B4F07C9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44A4B-961A-4D83-8797-DE1F81C1CB9B}">
  <dimension ref="A1:Q26"/>
  <sheetViews>
    <sheetView workbookViewId="0">
      <selection activeCell="D2" sqref="D2"/>
    </sheetView>
  </sheetViews>
  <sheetFormatPr defaultRowHeight="14.5" x14ac:dyDescent="0.35"/>
  <cols>
    <col min="1" max="1" width="3.1796875" bestFit="1" customWidth="1"/>
    <col min="2" max="2" width="6.90625" bestFit="1" customWidth="1"/>
    <col min="3" max="3" width="9.90625" bestFit="1" customWidth="1"/>
    <col min="4" max="4" width="11" bestFit="1" customWidth="1"/>
    <col min="5" max="5" width="24.453125" bestFit="1" customWidth="1"/>
    <col min="6" max="6" width="9.453125" bestFit="1" customWidth="1"/>
    <col min="7" max="7" width="10" bestFit="1" customWidth="1"/>
    <col min="8" max="8" width="12.1796875" bestFit="1" customWidth="1"/>
    <col min="9" max="9" width="7.81640625" bestFit="1" customWidth="1"/>
    <col min="10" max="10" width="8.36328125" bestFit="1" customWidth="1"/>
    <col min="11" max="11" width="10.54296875" bestFit="1" customWidth="1"/>
    <col min="12" max="12" width="4.26953125" bestFit="1" customWidth="1"/>
    <col min="13" max="13" width="5" bestFit="1" customWidth="1"/>
    <col min="14" max="14" width="15.54296875" bestFit="1" customWidth="1"/>
    <col min="15" max="15" width="9.08984375" bestFit="1" customWidth="1"/>
    <col min="16" max="16" width="10.26953125" bestFit="1" customWidth="1"/>
    <col min="17" max="17" width="22" bestFit="1" customWidth="1"/>
  </cols>
  <sheetData>
    <row r="1" spans="1:17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8" t="s">
        <v>5</v>
      </c>
      <c r="M1" s="8" t="s">
        <v>6</v>
      </c>
      <c r="N1" s="8" t="s">
        <v>7</v>
      </c>
      <c r="O1" s="8" t="s">
        <v>88</v>
      </c>
      <c r="P1" s="8" t="s">
        <v>87</v>
      </c>
      <c r="Q1" s="8" t="s">
        <v>86</v>
      </c>
    </row>
    <row r="2" spans="1:17" x14ac:dyDescent="0.3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3">
        <v>15.11</v>
      </c>
      <c r="G2" s="3">
        <v>15.07</v>
      </c>
      <c r="H2" s="3">
        <f>AVERAGE(F2:G2)</f>
        <v>15.09</v>
      </c>
      <c r="I2" s="3">
        <v>18.010000000000002</v>
      </c>
      <c r="J2" s="3">
        <v>18.14</v>
      </c>
      <c r="K2" s="3">
        <f>AVERAGE(I2:J2)</f>
        <v>18.075000000000003</v>
      </c>
      <c r="L2" s="3">
        <f>K2-H2</f>
        <v>2.985000000000003</v>
      </c>
      <c r="M2" s="3">
        <f t="shared" ref="M2:M21" si="0">L2-(AVERAGE($L$22:$L$26))</f>
        <v>-0.1079999999999961</v>
      </c>
      <c r="N2" s="2">
        <f>2^(-M2)</f>
        <v>1.077733145043668</v>
      </c>
      <c r="O2" s="9">
        <f>AVERAGE(K2:K6)-AVERAGE(H2:H6)</f>
        <v>2.7760000000000034</v>
      </c>
      <c r="P2" s="9">
        <f>O2-$O$22</f>
        <v>-0.31699999999999662</v>
      </c>
      <c r="Q2" s="9">
        <f>2^(-P2)</f>
        <v>1.2457374155694709</v>
      </c>
    </row>
    <row r="3" spans="1:17" x14ac:dyDescent="0.35">
      <c r="A3" s="2">
        <v>2</v>
      </c>
      <c r="B3" s="2" t="s">
        <v>12</v>
      </c>
      <c r="C3" s="2" t="s">
        <v>13</v>
      </c>
      <c r="D3" s="2" t="s">
        <v>10</v>
      </c>
      <c r="E3" s="2" t="s">
        <v>14</v>
      </c>
      <c r="F3" s="3">
        <v>18.82</v>
      </c>
      <c r="G3" s="3">
        <v>18.23</v>
      </c>
      <c r="H3" s="3">
        <f t="shared" ref="H3:H26" si="1">AVERAGE(F3:G3)</f>
        <v>18.524999999999999</v>
      </c>
      <c r="I3" s="3">
        <v>20.46</v>
      </c>
      <c r="J3" s="3">
        <v>20.190000000000001</v>
      </c>
      <c r="K3" s="3">
        <f t="shared" ref="K3:K26" si="2">AVERAGE(I3:J3)</f>
        <v>20.325000000000003</v>
      </c>
      <c r="L3" s="3">
        <f t="shared" ref="L3:L26" si="3">K3-H3</f>
        <v>1.8000000000000043</v>
      </c>
      <c r="M3" s="3">
        <f t="shared" si="0"/>
        <v>-1.2929999999999948</v>
      </c>
      <c r="N3" s="2">
        <f t="shared" ref="N3:N26" si="4">2^(-M3)</f>
        <v>2.450370663809343</v>
      </c>
      <c r="O3" s="10"/>
      <c r="P3" s="10"/>
      <c r="Q3" s="13"/>
    </row>
    <row r="4" spans="1:17" x14ac:dyDescent="0.35">
      <c r="A4" s="2">
        <v>3</v>
      </c>
      <c r="B4" s="2" t="s">
        <v>15</v>
      </c>
      <c r="C4" s="2" t="s">
        <v>16</v>
      </c>
      <c r="D4" s="2" t="s">
        <v>10</v>
      </c>
      <c r="E4" s="2" t="s">
        <v>17</v>
      </c>
      <c r="F4" s="3">
        <v>16.559999999999999</v>
      </c>
      <c r="G4" s="3">
        <v>17.75</v>
      </c>
      <c r="H4" s="3">
        <f t="shared" si="1"/>
        <v>17.155000000000001</v>
      </c>
      <c r="I4" s="3">
        <v>19.75</v>
      </c>
      <c r="J4" s="3">
        <v>19.71</v>
      </c>
      <c r="K4" s="3">
        <f t="shared" si="2"/>
        <v>19.73</v>
      </c>
      <c r="L4" s="3">
        <f t="shared" si="3"/>
        <v>2.5749999999999993</v>
      </c>
      <c r="M4" s="3">
        <f t="shared" si="0"/>
        <v>-0.51799999999999979</v>
      </c>
      <c r="N4" s="2">
        <f t="shared" si="4"/>
        <v>1.4319687412011433</v>
      </c>
      <c r="O4" s="10"/>
      <c r="P4" s="10"/>
      <c r="Q4" s="13"/>
    </row>
    <row r="5" spans="1:17" x14ac:dyDescent="0.35">
      <c r="A5" s="2">
        <v>4</v>
      </c>
      <c r="B5" s="2" t="s">
        <v>18</v>
      </c>
      <c r="C5" s="2" t="s">
        <v>19</v>
      </c>
      <c r="D5" s="2" t="s">
        <v>10</v>
      </c>
      <c r="E5" s="2" t="s">
        <v>20</v>
      </c>
      <c r="F5" s="3">
        <v>16.13</v>
      </c>
      <c r="G5" s="3">
        <v>15.98</v>
      </c>
      <c r="H5" s="3">
        <f t="shared" si="1"/>
        <v>16.055</v>
      </c>
      <c r="I5" s="3">
        <v>19.18</v>
      </c>
      <c r="J5" s="3">
        <v>19.64</v>
      </c>
      <c r="K5" s="3">
        <f t="shared" si="2"/>
        <v>19.41</v>
      </c>
      <c r="L5" s="3">
        <f t="shared" si="3"/>
        <v>3.3550000000000004</v>
      </c>
      <c r="M5" s="3">
        <f t="shared" si="0"/>
        <v>0.26200000000000134</v>
      </c>
      <c r="N5" s="2">
        <f t="shared" si="4"/>
        <v>0.83393104382496319</v>
      </c>
      <c r="O5" s="10"/>
      <c r="P5" s="10"/>
      <c r="Q5" s="13"/>
    </row>
    <row r="6" spans="1:17" x14ac:dyDescent="0.35">
      <c r="A6" s="2">
        <v>5</v>
      </c>
      <c r="B6" s="2" t="s">
        <v>21</v>
      </c>
      <c r="C6" s="2" t="s">
        <v>22</v>
      </c>
      <c r="D6" s="2" t="s">
        <v>10</v>
      </c>
      <c r="E6" s="2" t="s">
        <v>23</v>
      </c>
      <c r="F6" s="4">
        <v>17.100000000000001</v>
      </c>
      <c r="G6" s="4">
        <v>17.72</v>
      </c>
      <c r="H6" s="3">
        <f t="shared" si="1"/>
        <v>17.41</v>
      </c>
      <c r="I6" s="3">
        <v>20.56</v>
      </c>
      <c r="J6" s="3">
        <v>20.59</v>
      </c>
      <c r="K6" s="3">
        <f t="shared" si="2"/>
        <v>20.574999999999999</v>
      </c>
      <c r="L6" s="3">
        <f t="shared" si="3"/>
        <v>3.1649999999999991</v>
      </c>
      <c r="M6" s="3">
        <f t="shared" si="0"/>
        <v>7.2000000000000064E-2</v>
      </c>
      <c r="N6" s="2">
        <f t="shared" si="4"/>
        <v>0.951318276331799</v>
      </c>
      <c r="O6" s="11"/>
      <c r="P6" s="11"/>
      <c r="Q6" s="14"/>
    </row>
    <row r="7" spans="1:17" x14ac:dyDescent="0.35">
      <c r="A7" s="5">
        <v>6</v>
      </c>
      <c r="B7" s="5" t="s">
        <v>24</v>
      </c>
      <c r="C7" s="5" t="s">
        <v>25</v>
      </c>
      <c r="D7" s="5" t="s">
        <v>26</v>
      </c>
      <c r="E7" s="5" t="s">
        <v>27</v>
      </c>
      <c r="F7" s="6">
        <v>18.03</v>
      </c>
      <c r="G7" s="6">
        <v>16.78</v>
      </c>
      <c r="H7" s="6">
        <f t="shared" si="1"/>
        <v>17.405000000000001</v>
      </c>
      <c r="I7" s="6">
        <v>19.93</v>
      </c>
      <c r="J7" s="6">
        <v>19.309999999999999</v>
      </c>
      <c r="K7" s="6">
        <f t="shared" si="2"/>
        <v>19.619999999999997</v>
      </c>
      <c r="L7" s="6">
        <f t="shared" si="3"/>
        <v>2.2149999999999963</v>
      </c>
      <c r="M7" s="6">
        <f t="shared" si="0"/>
        <v>-0.87800000000000278</v>
      </c>
      <c r="N7" s="5">
        <f t="shared" si="4"/>
        <v>1.8378257669581033</v>
      </c>
      <c r="O7" s="15">
        <f t="shared" ref="O7:O22" si="5">AVERAGE(K7:K11)-AVERAGE(H7:H11)</f>
        <v>2.3590000000000018</v>
      </c>
      <c r="P7" s="15">
        <f t="shared" ref="P7:P22" si="6">O7-$O$22</f>
        <v>-0.73399999999999821</v>
      </c>
      <c r="Q7" s="18">
        <f t="shared" ref="Q7:Q22" si="7">2^(-P7)</f>
        <v>1.6632441967498106</v>
      </c>
    </row>
    <row r="8" spans="1:17" x14ac:dyDescent="0.35">
      <c r="A8" s="5">
        <v>7</v>
      </c>
      <c r="B8" s="5" t="s">
        <v>28</v>
      </c>
      <c r="C8" s="5" t="s">
        <v>29</v>
      </c>
      <c r="D8" s="5" t="s">
        <v>26</v>
      </c>
      <c r="E8" s="5" t="s">
        <v>27</v>
      </c>
      <c r="F8" s="6">
        <v>20.03</v>
      </c>
      <c r="G8" s="6">
        <v>19.829999999999998</v>
      </c>
      <c r="H8" s="6">
        <f t="shared" si="1"/>
        <v>19.93</v>
      </c>
      <c r="I8" s="6">
        <v>21.66</v>
      </c>
      <c r="J8" s="6">
        <v>21.2</v>
      </c>
      <c r="K8" s="6">
        <f t="shared" si="2"/>
        <v>21.43</v>
      </c>
      <c r="L8" s="6">
        <f t="shared" si="3"/>
        <v>1.5</v>
      </c>
      <c r="M8" s="6">
        <f t="shared" si="0"/>
        <v>-1.5929999999999991</v>
      </c>
      <c r="N8" s="5">
        <f t="shared" si="4"/>
        <v>3.0167601533731561</v>
      </c>
      <c r="O8" s="16"/>
      <c r="P8" s="16"/>
      <c r="Q8" s="19"/>
    </row>
    <row r="9" spans="1:17" x14ac:dyDescent="0.35">
      <c r="A9" s="5">
        <v>8</v>
      </c>
      <c r="B9" s="5" t="s">
        <v>30</v>
      </c>
      <c r="C9" s="5" t="s">
        <v>31</v>
      </c>
      <c r="D9" s="5" t="s">
        <v>26</v>
      </c>
      <c r="E9" s="5" t="s">
        <v>27</v>
      </c>
      <c r="F9" s="6">
        <v>16.23</v>
      </c>
      <c r="G9" s="6">
        <v>16.84</v>
      </c>
      <c r="H9" s="6">
        <f t="shared" si="1"/>
        <v>16.535</v>
      </c>
      <c r="I9" s="6">
        <v>20</v>
      </c>
      <c r="J9" s="6">
        <v>20.16</v>
      </c>
      <c r="K9" s="6">
        <f t="shared" si="2"/>
        <v>20.079999999999998</v>
      </c>
      <c r="L9" s="6">
        <f t="shared" si="3"/>
        <v>3.5449999999999982</v>
      </c>
      <c r="M9" s="6">
        <f t="shared" si="0"/>
        <v>0.45199999999999907</v>
      </c>
      <c r="N9" s="5">
        <f t="shared" si="4"/>
        <v>0.73102872420001719</v>
      </c>
      <c r="O9" s="16"/>
      <c r="P9" s="16"/>
      <c r="Q9" s="19"/>
    </row>
    <row r="10" spans="1:17" x14ac:dyDescent="0.35">
      <c r="A10" s="5">
        <v>9</v>
      </c>
      <c r="B10" s="5" t="s">
        <v>32</v>
      </c>
      <c r="C10" s="5" t="s">
        <v>33</v>
      </c>
      <c r="D10" s="5" t="s">
        <v>26</v>
      </c>
      <c r="E10" s="5" t="s">
        <v>27</v>
      </c>
      <c r="F10" s="6">
        <v>16.82</v>
      </c>
      <c r="G10" s="6">
        <v>16.82</v>
      </c>
      <c r="H10" s="6">
        <f t="shared" si="1"/>
        <v>16.82</v>
      </c>
      <c r="I10" s="6">
        <v>18.03</v>
      </c>
      <c r="J10" s="6">
        <v>18.13</v>
      </c>
      <c r="K10" s="6">
        <f t="shared" si="2"/>
        <v>18.079999999999998</v>
      </c>
      <c r="L10" s="6">
        <f t="shared" si="3"/>
        <v>1.259999999999998</v>
      </c>
      <c r="M10" s="6">
        <f t="shared" si="0"/>
        <v>-1.8330000000000011</v>
      </c>
      <c r="N10" s="5">
        <f t="shared" si="4"/>
        <v>3.5627716024267264</v>
      </c>
      <c r="O10" s="16"/>
      <c r="P10" s="16"/>
      <c r="Q10" s="19"/>
    </row>
    <row r="11" spans="1:17" x14ac:dyDescent="0.35">
      <c r="A11" s="5">
        <v>10</v>
      </c>
      <c r="B11" s="5" t="s">
        <v>34</v>
      </c>
      <c r="C11" s="5" t="s">
        <v>35</v>
      </c>
      <c r="D11" s="5" t="s">
        <v>26</v>
      </c>
      <c r="E11" s="5" t="s">
        <v>36</v>
      </c>
      <c r="F11" s="6">
        <v>17.600000000000001</v>
      </c>
      <c r="G11" s="6">
        <v>17.78</v>
      </c>
      <c r="H11" s="6">
        <f t="shared" si="1"/>
        <v>17.690000000000001</v>
      </c>
      <c r="I11" s="6">
        <v>20.86</v>
      </c>
      <c r="J11" s="6">
        <v>21.07</v>
      </c>
      <c r="K11" s="6">
        <f t="shared" si="2"/>
        <v>20.965</v>
      </c>
      <c r="L11" s="6">
        <f t="shared" si="3"/>
        <v>3.2749999999999986</v>
      </c>
      <c r="M11" s="6">
        <f t="shared" si="0"/>
        <v>0.1819999999999995</v>
      </c>
      <c r="N11" s="5">
        <f t="shared" si="4"/>
        <v>0.88148015790717049</v>
      </c>
      <c r="O11" s="17"/>
      <c r="P11" s="17"/>
      <c r="Q11" s="20"/>
    </row>
    <row r="12" spans="1:17" x14ac:dyDescent="0.35">
      <c r="A12" s="2">
        <v>11</v>
      </c>
      <c r="B12" s="2" t="s">
        <v>37</v>
      </c>
      <c r="C12" s="2" t="s">
        <v>38</v>
      </c>
      <c r="D12" s="2" t="s">
        <v>39</v>
      </c>
      <c r="E12" s="2" t="s">
        <v>40</v>
      </c>
      <c r="F12" s="3">
        <v>16.27</v>
      </c>
      <c r="G12" s="3">
        <v>16.829999999999998</v>
      </c>
      <c r="H12" s="3">
        <f t="shared" si="1"/>
        <v>16.549999999999997</v>
      </c>
      <c r="I12" s="3">
        <v>19.8</v>
      </c>
      <c r="J12" s="3">
        <v>20.010000000000002</v>
      </c>
      <c r="K12" s="3">
        <f t="shared" si="2"/>
        <v>19.905000000000001</v>
      </c>
      <c r="L12" s="3">
        <f t="shared" si="3"/>
        <v>3.355000000000004</v>
      </c>
      <c r="M12" s="3">
        <f t="shared" si="0"/>
        <v>0.2620000000000049</v>
      </c>
      <c r="N12" s="2">
        <f t="shared" si="4"/>
        <v>0.83393104382496119</v>
      </c>
      <c r="O12" s="9">
        <f t="shared" si="5"/>
        <v>2.6490000000000009</v>
      </c>
      <c r="P12" s="9">
        <f t="shared" si="6"/>
        <v>-0.44399999999999906</v>
      </c>
      <c r="Q12" s="12">
        <f t="shared" si="7"/>
        <v>1.3603708524059541</v>
      </c>
    </row>
    <row r="13" spans="1:17" x14ac:dyDescent="0.35">
      <c r="A13" s="2">
        <v>12</v>
      </c>
      <c r="B13" s="2" t="s">
        <v>41</v>
      </c>
      <c r="C13" s="2" t="s">
        <v>42</v>
      </c>
      <c r="D13" s="2" t="s">
        <v>39</v>
      </c>
      <c r="E13" s="2" t="s">
        <v>43</v>
      </c>
      <c r="F13" s="3">
        <v>16.829999999999998</v>
      </c>
      <c r="G13" s="3">
        <v>17.23</v>
      </c>
      <c r="H13" s="3">
        <f t="shared" si="1"/>
        <v>17.03</v>
      </c>
      <c r="I13" s="3">
        <v>20.309999999999999</v>
      </c>
      <c r="J13" s="3">
        <v>20.68</v>
      </c>
      <c r="K13" s="3">
        <f t="shared" si="2"/>
        <v>20.494999999999997</v>
      </c>
      <c r="L13" s="3">
        <f t="shared" si="3"/>
        <v>3.4649999999999963</v>
      </c>
      <c r="M13" s="3">
        <f t="shared" si="0"/>
        <v>0.37199999999999722</v>
      </c>
      <c r="N13" s="2">
        <f t="shared" si="4"/>
        <v>0.77271054964798891</v>
      </c>
      <c r="O13" s="10"/>
      <c r="P13" s="10"/>
      <c r="Q13" s="13"/>
    </row>
    <row r="14" spans="1:17" x14ac:dyDescent="0.35">
      <c r="A14" s="2">
        <v>13</v>
      </c>
      <c r="B14" s="2" t="s">
        <v>44</v>
      </c>
      <c r="C14" s="2" t="s">
        <v>45</v>
      </c>
      <c r="D14" s="2" t="s">
        <v>39</v>
      </c>
      <c r="E14" s="2" t="s">
        <v>46</v>
      </c>
      <c r="F14" s="3">
        <v>18.649999999999999</v>
      </c>
      <c r="G14" s="3">
        <v>18.8</v>
      </c>
      <c r="H14" s="3">
        <f t="shared" si="1"/>
        <v>18.725000000000001</v>
      </c>
      <c r="I14" s="3">
        <v>20.99</v>
      </c>
      <c r="J14" s="3">
        <v>23.1</v>
      </c>
      <c r="K14" s="3">
        <f t="shared" si="2"/>
        <v>22.045000000000002</v>
      </c>
      <c r="L14" s="3">
        <f t="shared" si="3"/>
        <v>3.3200000000000003</v>
      </c>
      <c r="M14" s="3">
        <f t="shared" si="0"/>
        <v>0.2270000000000012</v>
      </c>
      <c r="N14" s="2">
        <f t="shared" si="4"/>
        <v>0.85440974088973232</v>
      </c>
      <c r="O14" s="10"/>
      <c r="P14" s="10"/>
      <c r="Q14" s="13"/>
    </row>
    <row r="15" spans="1:17" x14ac:dyDescent="0.35">
      <c r="A15" s="2">
        <v>14</v>
      </c>
      <c r="B15" s="2" t="s">
        <v>47</v>
      </c>
      <c r="C15" s="2" t="s">
        <v>48</v>
      </c>
      <c r="D15" s="2" t="s">
        <v>39</v>
      </c>
      <c r="E15" s="2" t="s">
        <v>49</v>
      </c>
      <c r="F15" s="3">
        <v>18</v>
      </c>
      <c r="G15" s="3">
        <v>18.399999999999999</v>
      </c>
      <c r="H15" s="3">
        <f t="shared" si="1"/>
        <v>18.2</v>
      </c>
      <c r="I15" s="3">
        <v>21.19</v>
      </c>
      <c r="J15" s="3">
        <v>21.14</v>
      </c>
      <c r="K15" s="3">
        <f t="shared" si="2"/>
        <v>21.164999999999999</v>
      </c>
      <c r="L15" s="3">
        <f t="shared" si="3"/>
        <v>2.9649999999999999</v>
      </c>
      <c r="M15" s="3">
        <f t="shared" si="0"/>
        <v>-0.12799999999999923</v>
      </c>
      <c r="N15" s="2">
        <f t="shared" si="4"/>
        <v>1.0927777391009519</v>
      </c>
      <c r="O15" s="10"/>
      <c r="P15" s="10"/>
      <c r="Q15" s="13"/>
    </row>
    <row r="16" spans="1:17" x14ac:dyDescent="0.35">
      <c r="A16" s="2">
        <v>15</v>
      </c>
      <c r="B16" s="2" t="s">
        <v>50</v>
      </c>
      <c r="C16" s="2" t="s">
        <v>51</v>
      </c>
      <c r="D16" s="2" t="s">
        <v>39</v>
      </c>
      <c r="E16" s="2" t="s">
        <v>52</v>
      </c>
      <c r="F16" s="4">
        <v>20.010000000000002</v>
      </c>
      <c r="G16" s="4">
        <v>20.3</v>
      </c>
      <c r="H16" s="3">
        <f t="shared" si="1"/>
        <v>20.155000000000001</v>
      </c>
      <c r="I16" s="3">
        <v>20.28</v>
      </c>
      <c r="J16" s="3">
        <v>20.309999999999999</v>
      </c>
      <c r="K16" s="3">
        <f t="shared" si="2"/>
        <v>20.295000000000002</v>
      </c>
      <c r="L16" s="3">
        <f t="shared" si="3"/>
        <v>0.14000000000000057</v>
      </c>
      <c r="M16" s="3">
        <f t="shared" si="0"/>
        <v>-2.9529999999999985</v>
      </c>
      <c r="N16" s="2">
        <f t="shared" si="4"/>
        <v>7.7435762151498908</v>
      </c>
      <c r="O16" s="11"/>
      <c r="P16" s="11"/>
      <c r="Q16" s="14"/>
    </row>
    <row r="17" spans="1:17" x14ac:dyDescent="0.35">
      <c r="A17" s="5">
        <v>16</v>
      </c>
      <c r="B17" s="5" t="s">
        <v>53</v>
      </c>
      <c r="C17" s="5" t="s">
        <v>54</v>
      </c>
      <c r="D17" s="5" t="s">
        <v>55</v>
      </c>
      <c r="E17" s="7">
        <v>30</v>
      </c>
      <c r="F17" s="6">
        <v>19.329999999999998</v>
      </c>
      <c r="G17" s="6">
        <v>20.07</v>
      </c>
      <c r="H17" s="6">
        <f t="shared" si="1"/>
        <v>19.7</v>
      </c>
      <c r="I17" s="6">
        <v>27.18</v>
      </c>
      <c r="J17" s="6">
        <v>27.09</v>
      </c>
      <c r="K17" s="6">
        <f t="shared" si="2"/>
        <v>27.134999999999998</v>
      </c>
      <c r="L17" s="6">
        <f t="shared" si="3"/>
        <v>7.4349999999999987</v>
      </c>
      <c r="M17" s="6">
        <f t="shared" si="0"/>
        <v>4.3419999999999996</v>
      </c>
      <c r="N17" s="5">
        <f t="shared" si="4"/>
        <v>4.9309177553279085E-2</v>
      </c>
      <c r="O17" s="15">
        <f t="shared" si="5"/>
        <v>4.1879999999999988</v>
      </c>
      <c r="P17" s="15">
        <f t="shared" si="6"/>
        <v>1.0949999999999989</v>
      </c>
      <c r="Q17" s="18">
        <f t="shared" si="7"/>
        <v>0.4681361237172465</v>
      </c>
    </row>
    <row r="18" spans="1:17" x14ac:dyDescent="0.35">
      <c r="A18" s="5">
        <v>17</v>
      </c>
      <c r="B18" s="5" t="s">
        <v>56</v>
      </c>
      <c r="C18" s="5" t="s">
        <v>57</v>
      </c>
      <c r="D18" s="5" t="s">
        <v>55</v>
      </c>
      <c r="E18" s="7">
        <v>33</v>
      </c>
      <c r="F18" s="6">
        <v>16.170000000000002</v>
      </c>
      <c r="G18" s="6">
        <v>16.829999999999998</v>
      </c>
      <c r="H18" s="6">
        <f t="shared" si="1"/>
        <v>16.5</v>
      </c>
      <c r="I18" s="6">
        <v>19.63</v>
      </c>
      <c r="J18" s="6">
        <v>19.38</v>
      </c>
      <c r="K18" s="6">
        <f t="shared" si="2"/>
        <v>19.504999999999999</v>
      </c>
      <c r="L18" s="6">
        <f t="shared" si="3"/>
        <v>3.004999999999999</v>
      </c>
      <c r="M18" s="6">
        <f t="shared" si="0"/>
        <v>-8.8000000000000078E-2</v>
      </c>
      <c r="N18" s="5">
        <f t="shared" si="4"/>
        <v>1.0628956743585534</v>
      </c>
      <c r="O18" s="16"/>
      <c r="P18" s="16"/>
      <c r="Q18" s="19"/>
    </row>
    <row r="19" spans="1:17" x14ac:dyDescent="0.35">
      <c r="A19" s="5">
        <v>18</v>
      </c>
      <c r="B19" s="5" t="s">
        <v>58</v>
      </c>
      <c r="C19" s="5" t="s">
        <v>59</v>
      </c>
      <c r="D19" s="5" t="s">
        <v>55</v>
      </c>
      <c r="E19" s="7">
        <v>34</v>
      </c>
      <c r="F19" s="6">
        <v>17.16</v>
      </c>
      <c r="G19" s="6">
        <v>17.28</v>
      </c>
      <c r="H19" s="6">
        <f t="shared" si="1"/>
        <v>17.22</v>
      </c>
      <c r="I19" s="6">
        <v>19.41</v>
      </c>
      <c r="J19" s="6">
        <v>19.41</v>
      </c>
      <c r="K19" s="6">
        <f t="shared" si="2"/>
        <v>19.41</v>
      </c>
      <c r="L19" s="6">
        <f t="shared" si="3"/>
        <v>2.1900000000000013</v>
      </c>
      <c r="M19" s="6">
        <f t="shared" si="0"/>
        <v>-0.9029999999999978</v>
      </c>
      <c r="N19" s="5">
        <f t="shared" si="4"/>
        <v>1.8699503955029078</v>
      </c>
      <c r="O19" s="16"/>
      <c r="P19" s="16"/>
      <c r="Q19" s="19"/>
    </row>
    <row r="20" spans="1:17" x14ac:dyDescent="0.35">
      <c r="A20" s="5">
        <v>19</v>
      </c>
      <c r="B20" s="5" t="s">
        <v>60</v>
      </c>
      <c r="C20" s="5" t="s">
        <v>61</v>
      </c>
      <c r="D20" s="5" t="s">
        <v>55</v>
      </c>
      <c r="E20" s="7">
        <v>36</v>
      </c>
      <c r="F20" s="6">
        <v>16.32</v>
      </c>
      <c r="G20" s="6">
        <v>17</v>
      </c>
      <c r="H20" s="6">
        <f t="shared" si="1"/>
        <v>16.66</v>
      </c>
      <c r="I20" s="6">
        <v>19.850000000000001</v>
      </c>
      <c r="J20" s="6">
        <v>20.350000000000001</v>
      </c>
      <c r="K20" s="6">
        <f t="shared" si="2"/>
        <v>20.100000000000001</v>
      </c>
      <c r="L20" s="6">
        <f t="shared" si="3"/>
        <v>3.4400000000000013</v>
      </c>
      <c r="M20" s="6">
        <f t="shared" si="0"/>
        <v>0.3470000000000022</v>
      </c>
      <c r="N20" s="5">
        <f t="shared" si="4"/>
        <v>0.78621729214033054</v>
      </c>
      <c r="O20" s="16"/>
      <c r="P20" s="16"/>
      <c r="Q20" s="19"/>
    </row>
    <row r="21" spans="1:17" x14ac:dyDescent="0.35">
      <c r="A21" s="5">
        <v>20</v>
      </c>
      <c r="B21" s="5" t="s">
        <v>62</v>
      </c>
      <c r="C21" s="5" t="s">
        <v>63</v>
      </c>
      <c r="D21" s="5" t="s">
        <v>55</v>
      </c>
      <c r="E21" s="7">
        <v>39</v>
      </c>
      <c r="F21" s="6">
        <v>17.010000000000002</v>
      </c>
      <c r="G21" s="6">
        <v>17.39</v>
      </c>
      <c r="H21" s="6">
        <f t="shared" si="1"/>
        <v>17.200000000000003</v>
      </c>
      <c r="I21" s="6">
        <v>22.11</v>
      </c>
      <c r="J21" s="6">
        <v>22.03</v>
      </c>
      <c r="K21" s="6">
        <f t="shared" si="2"/>
        <v>22.07</v>
      </c>
      <c r="L21" s="6">
        <f t="shared" si="3"/>
        <v>4.8699999999999974</v>
      </c>
      <c r="M21" s="6">
        <f t="shared" si="0"/>
        <v>1.7769999999999984</v>
      </c>
      <c r="N21" s="5">
        <f t="shared" si="4"/>
        <v>0.29178952545461723</v>
      </c>
      <c r="O21" s="17"/>
      <c r="P21" s="17"/>
      <c r="Q21" s="20"/>
    </row>
    <row r="22" spans="1:17" x14ac:dyDescent="0.35">
      <c r="A22" s="2">
        <v>21</v>
      </c>
      <c r="B22" s="2" t="s">
        <v>64</v>
      </c>
      <c r="C22" s="2" t="s">
        <v>65</v>
      </c>
      <c r="D22" s="2" t="s">
        <v>66</v>
      </c>
      <c r="E22" s="2" t="s">
        <v>67</v>
      </c>
      <c r="F22" s="3">
        <v>17.760000000000002</v>
      </c>
      <c r="G22" s="3">
        <v>17.91</v>
      </c>
      <c r="H22" s="3">
        <f t="shared" si="1"/>
        <v>17.835000000000001</v>
      </c>
      <c r="I22" s="3">
        <v>20.97</v>
      </c>
      <c r="J22" s="3">
        <v>21.17</v>
      </c>
      <c r="K22" s="3">
        <f t="shared" si="2"/>
        <v>21.07</v>
      </c>
      <c r="L22" s="3">
        <f t="shared" si="3"/>
        <v>3.2349999999999994</v>
      </c>
      <c r="M22" s="3">
        <f>L22-L22</f>
        <v>0</v>
      </c>
      <c r="N22" s="2">
        <f t="shared" si="4"/>
        <v>1</v>
      </c>
      <c r="O22" s="9">
        <f t="shared" si="5"/>
        <v>3.093</v>
      </c>
      <c r="P22" s="9">
        <f t="shared" si="6"/>
        <v>0</v>
      </c>
      <c r="Q22" s="12">
        <f t="shared" si="7"/>
        <v>1</v>
      </c>
    </row>
    <row r="23" spans="1:17" x14ac:dyDescent="0.35">
      <c r="A23" s="2">
        <v>22</v>
      </c>
      <c r="B23" s="2" t="s">
        <v>68</v>
      </c>
      <c r="C23" s="2" t="s">
        <v>69</v>
      </c>
      <c r="D23" s="2" t="s">
        <v>66</v>
      </c>
      <c r="E23" s="2" t="s">
        <v>70</v>
      </c>
      <c r="F23" s="3">
        <v>16.010000000000002</v>
      </c>
      <c r="G23" s="3">
        <v>16.36</v>
      </c>
      <c r="H23" s="3">
        <f t="shared" si="1"/>
        <v>16.185000000000002</v>
      </c>
      <c r="I23" s="3">
        <v>20.239999999999998</v>
      </c>
      <c r="J23" s="3">
        <v>20.25</v>
      </c>
      <c r="K23" s="3">
        <f t="shared" si="2"/>
        <v>20.244999999999997</v>
      </c>
      <c r="L23" s="3">
        <f t="shared" si="3"/>
        <v>4.0599999999999952</v>
      </c>
      <c r="M23" s="3">
        <f t="shared" ref="M23:M26" si="8">L23-L23</f>
        <v>0</v>
      </c>
      <c r="N23" s="2">
        <f t="shared" si="4"/>
        <v>1</v>
      </c>
      <c r="O23" s="10"/>
      <c r="P23" s="10"/>
      <c r="Q23" s="13"/>
    </row>
    <row r="24" spans="1:17" x14ac:dyDescent="0.35">
      <c r="A24" s="2">
        <v>23</v>
      </c>
      <c r="B24" s="2" t="s">
        <v>71</v>
      </c>
      <c r="C24" s="2" t="s">
        <v>72</v>
      </c>
      <c r="D24" s="2" t="s">
        <v>66</v>
      </c>
      <c r="E24" s="2" t="s">
        <v>73</v>
      </c>
      <c r="F24" s="3">
        <v>16.899999999999999</v>
      </c>
      <c r="G24" s="3">
        <v>17.04</v>
      </c>
      <c r="H24" s="3">
        <f t="shared" si="1"/>
        <v>16.97</v>
      </c>
      <c r="I24" s="3">
        <v>19.149999999999999</v>
      </c>
      <c r="J24" s="3">
        <v>19.23</v>
      </c>
      <c r="K24" s="3">
        <f t="shared" si="2"/>
        <v>19.189999999999998</v>
      </c>
      <c r="L24" s="3">
        <f t="shared" si="3"/>
        <v>2.2199999999999989</v>
      </c>
      <c r="M24" s="3">
        <f t="shared" si="8"/>
        <v>0</v>
      </c>
      <c r="N24" s="2">
        <f t="shared" si="4"/>
        <v>1</v>
      </c>
      <c r="O24" s="10"/>
      <c r="P24" s="10"/>
      <c r="Q24" s="13"/>
    </row>
    <row r="25" spans="1:17" x14ac:dyDescent="0.35">
      <c r="A25" s="2">
        <v>24</v>
      </c>
      <c r="B25" s="2" t="s">
        <v>74</v>
      </c>
      <c r="C25" s="2" t="s">
        <v>75</v>
      </c>
      <c r="D25" s="2" t="s">
        <v>66</v>
      </c>
      <c r="E25" s="2" t="s">
        <v>76</v>
      </c>
      <c r="F25" s="3">
        <v>17.66</v>
      </c>
      <c r="G25" s="3">
        <v>17.78</v>
      </c>
      <c r="H25" s="3">
        <f t="shared" si="1"/>
        <v>17.72</v>
      </c>
      <c r="I25" s="3">
        <v>19.98</v>
      </c>
      <c r="J25" s="3">
        <v>20.440000000000001</v>
      </c>
      <c r="K25" s="3">
        <f t="shared" si="2"/>
        <v>20.21</v>
      </c>
      <c r="L25" s="3">
        <f t="shared" si="3"/>
        <v>2.490000000000002</v>
      </c>
      <c r="M25" s="3">
        <f t="shared" si="8"/>
        <v>0</v>
      </c>
      <c r="N25" s="2">
        <f t="shared" si="4"/>
        <v>1</v>
      </c>
      <c r="O25" s="10"/>
      <c r="P25" s="10"/>
      <c r="Q25" s="13"/>
    </row>
    <row r="26" spans="1:17" x14ac:dyDescent="0.35">
      <c r="A26" s="2">
        <v>25</v>
      </c>
      <c r="B26" s="2" t="s">
        <v>77</v>
      </c>
      <c r="C26" s="2" t="s">
        <v>78</v>
      </c>
      <c r="D26" s="2" t="s">
        <v>66</v>
      </c>
      <c r="E26" s="2" t="s">
        <v>79</v>
      </c>
      <c r="F26" s="3">
        <v>17.21</v>
      </c>
      <c r="G26" s="3">
        <v>17.88</v>
      </c>
      <c r="H26" s="3">
        <f t="shared" si="1"/>
        <v>17.545000000000002</v>
      </c>
      <c r="I26" s="3">
        <v>21</v>
      </c>
      <c r="J26" s="3">
        <v>21.01</v>
      </c>
      <c r="K26" s="3">
        <f t="shared" si="2"/>
        <v>21.005000000000003</v>
      </c>
      <c r="L26" s="3">
        <f t="shared" si="3"/>
        <v>3.4600000000000009</v>
      </c>
      <c r="M26" s="3">
        <f t="shared" si="8"/>
        <v>0</v>
      </c>
      <c r="N26" s="2">
        <f t="shared" si="4"/>
        <v>1</v>
      </c>
      <c r="O26" s="11"/>
      <c r="P26" s="11"/>
      <c r="Q26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BC8D4-1456-48BD-83E3-F2345DA5304E}">
  <dimension ref="A1:Q26"/>
  <sheetViews>
    <sheetView workbookViewId="0">
      <selection sqref="A1:Q1"/>
    </sheetView>
  </sheetViews>
  <sheetFormatPr defaultRowHeight="14.5" x14ac:dyDescent="0.35"/>
  <cols>
    <col min="1" max="1" width="3.1796875" bestFit="1" customWidth="1"/>
    <col min="2" max="2" width="6.90625" bestFit="1" customWidth="1"/>
    <col min="3" max="3" width="9.90625" bestFit="1" customWidth="1"/>
    <col min="4" max="4" width="11" bestFit="1" customWidth="1"/>
    <col min="5" max="5" width="24.453125" bestFit="1" customWidth="1"/>
    <col min="6" max="6" width="9.453125" bestFit="1" customWidth="1"/>
    <col min="7" max="7" width="10" bestFit="1" customWidth="1"/>
    <col min="8" max="8" width="12.1796875" bestFit="1" customWidth="1"/>
    <col min="9" max="9" width="7.81640625" bestFit="1" customWidth="1"/>
    <col min="10" max="10" width="8.36328125" bestFit="1" customWidth="1"/>
    <col min="11" max="11" width="10.54296875" bestFit="1" customWidth="1"/>
    <col min="12" max="12" width="4.26953125" bestFit="1" customWidth="1"/>
    <col min="13" max="13" width="5" bestFit="1" customWidth="1"/>
    <col min="14" max="14" width="15.54296875" bestFit="1" customWidth="1"/>
    <col min="15" max="15" width="9.08984375" bestFit="1" customWidth="1"/>
    <col min="16" max="16" width="10.26953125" bestFit="1" customWidth="1"/>
    <col min="17" max="17" width="22" bestFit="1" customWidth="1"/>
  </cols>
  <sheetData>
    <row r="1" spans="1:17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8" t="s">
        <v>5</v>
      </c>
      <c r="M1" s="8" t="s">
        <v>6</v>
      </c>
      <c r="N1" s="8" t="s">
        <v>7</v>
      </c>
      <c r="O1" s="8" t="s">
        <v>88</v>
      </c>
      <c r="P1" s="8" t="s">
        <v>87</v>
      </c>
      <c r="Q1" s="8" t="s">
        <v>86</v>
      </c>
    </row>
    <row r="2" spans="1:17" x14ac:dyDescent="0.3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3">
        <v>15.11</v>
      </c>
      <c r="G2" s="3">
        <v>15.07</v>
      </c>
      <c r="H2" s="3">
        <f>AVERAGE(F2:G2)</f>
        <v>15.09</v>
      </c>
      <c r="I2" s="3">
        <v>18.010000000000002</v>
      </c>
      <c r="J2" s="3">
        <v>18.14</v>
      </c>
      <c r="K2" s="3">
        <f>AVERAGE(I2:J2)</f>
        <v>18.075000000000003</v>
      </c>
      <c r="L2" s="3">
        <f>K2-H2</f>
        <v>2.985000000000003</v>
      </c>
      <c r="M2" s="3">
        <f t="shared" ref="M2:M16" si="0">L2-(AVERAGE($L$17:$L$21))</f>
        <v>-1.2029999999999967</v>
      </c>
      <c r="N2" s="2">
        <f>2^(-M2)</f>
        <v>2.3021789826555201</v>
      </c>
      <c r="O2" s="9">
        <f>AVERAGE(K2:K6)-AVERAGE(H2:H6)</f>
        <v>2.7760000000000034</v>
      </c>
      <c r="P2" s="9">
        <f>O2-$O$17</f>
        <v>-1.4119999999999955</v>
      </c>
      <c r="Q2" s="12">
        <f>2^(-P2)</f>
        <v>2.6610580821613641</v>
      </c>
    </row>
    <row r="3" spans="1:17" x14ac:dyDescent="0.35">
      <c r="A3" s="2">
        <v>2</v>
      </c>
      <c r="B3" s="2" t="s">
        <v>12</v>
      </c>
      <c r="C3" s="2" t="s">
        <v>13</v>
      </c>
      <c r="D3" s="2" t="s">
        <v>10</v>
      </c>
      <c r="E3" s="2" t="s">
        <v>14</v>
      </c>
      <c r="F3" s="3">
        <v>18.82</v>
      </c>
      <c r="G3" s="3">
        <v>18.23</v>
      </c>
      <c r="H3" s="3">
        <f t="shared" ref="H3:H21" si="1">AVERAGE(F3:G3)</f>
        <v>18.524999999999999</v>
      </c>
      <c r="I3" s="3">
        <v>20.46</v>
      </c>
      <c r="J3" s="3">
        <v>20.190000000000001</v>
      </c>
      <c r="K3" s="3">
        <f t="shared" ref="K3:K21" si="2">AVERAGE(I3:J3)</f>
        <v>20.325000000000003</v>
      </c>
      <c r="L3" s="3">
        <f t="shared" ref="L3:L21" si="3">K3-H3</f>
        <v>1.8000000000000043</v>
      </c>
      <c r="M3" s="3">
        <f t="shared" si="0"/>
        <v>-2.3879999999999955</v>
      </c>
      <c r="N3" s="2">
        <f t="shared" ref="N3:N21" si="4">2^(-M3)</f>
        <v>5.2343122858200237</v>
      </c>
      <c r="O3" s="10"/>
      <c r="P3" s="10"/>
      <c r="Q3" s="13"/>
    </row>
    <row r="4" spans="1:17" x14ac:dyDescent="0.35">
      <c r="A4" s="2">
        <v>3</v>
      </c>
      <c r="B4" s="2" t="s">
        <v>15</v>
      </c>
      <c r="C4" s="2" t="s">
        <v>16</v>
      </c>
      <c r="D4" s="2" t="s">
        <v>10</v>
      </c>
      <c r="E4" s="2" t="s">
        <v>17</v>
      </c>
      <c r="F4" s="3">
        <v>16.559999999999999</v>
      </c>
      <c r="G4" s="3">
        <v>17.75</v>
      </c>
      <c r="H4" s="3">
        <f t="shared" si="1"/>
        <v>17.155000000000001</v>
      </c>
      <c r="I4" s="3">
        <v>19.75</v>
      </c>
      <c r="J4" s="3">
        <v>19.71</v>
      </c>
      <c r="K4" s="3">
        <f t="shared" si="2"/>
        <v>19.73</v>
      </c>
      <c r="L4" s="3">
        <f t="shared" si="3"/>
        <v>2.5749999999999993</v>
      </c>
      <c r="M4" s="3">
        <f t="shared" si="0"/>
        <v>-1.6130000000000004</v>
      </c>
      <c r="N4" s="2">
        <f t="shared" si="4"/>
        <v>3.0588725557655359</v>
      </c>
      <c r="O4" s="10"/>
      <c r="P4" s="10"/>
      <c r="Q4" s="13"/>
    </row>
    <row r="5" spans="1:17" x14ac:dyDescent="0.35">
      <c r="A5" s="2">
        <v>4</v>
      </c>
      <c r="B5" s="2" t="s">
        <v>18</v>
      </c>
      <c r="C5" s="2" t="s">
        <v>19</v>
      </c>
      <c r="D5" s="2" t="s">
        <v>10</v>
      </c>
      <c r="E5" s="2" t="s">
        <v>20</v>
      </c>
      <c r="F5" s="3">
        <v>16.13</v>
      </c>
      <c r="G5" s="3">
        <v>15.98</v>
      </c>
      <c r="H5" s="3">
        <f t="shared" si="1"/>
        <v>16.055</v>
      </c>
      <c r="I5" s="3">
        <v>19.18</v>
      </c>
      <c r="J5" s="3">
        <v>19.64</v>
      </c>
      <c r="K5" s="3">
        <f t="shared" si="2"/>
        <v>19.41</v>
      </c>
      <c r="L5" s="3">
        <f t="shared" si="3"/>
        <v>3.3550000000000004</v>
      </c>
      <c r="M5" s="3">
        <f t="shared" si="0"/>
        <v>-0.8329999999999993</v>
      </c>
      <c r="N5" s="2">
        <f t="shared" si="4"/>
        <v>1.781385801213361</v>
      </c>
      <c r="O5" s="10"/>
      <c r="P5" s="10"/>
      <c r="Q5" s="13"/>
    </row>
    <row r="6" spans="1:17" x14ac:dyDescent="0.35">
      <c r="A6" s="2">
        <v>5</v>
      </c>
      <c r="B6" s="2" t="s">
        <v>21</v>
      </c>
      <c r="C6" s="2" t="s">
        <v>22</v>
      </c>
      <c r="D6" s="2" t="s">
        <v>10</v>
      </c>
      <c r="E6" s="2" t="s">
        <v>23</v>
      </c>
      <c r="F6" s="4">
        <v>17.100000000000001</v>
      </c>
      <c r="G6" s="4">
        <v>17.72</v>
      </c>
      <c r="H6" s="3">
        <f t="shared" si="1"/>
        <v>17.41</v>
      </c>
      <c r="I6" s="3">
        <v>20.56</v>
      </c>
      <c r="J6" s="3">
        <v>20.59</v>
      </c>
      <c r="K6" s="3">
        <f t="shared" si="2"/>
        <v>20.574999999999999</v>
      </c>
      <c r="L6" s="3">
        <f t="shared" si="3"/>
        <v>3.1649999999999991</v>
      </c>
      <c r="M6" s="3">
        <f t="shared" si="0"/>
        <v>-1.0230000000000006</v>
      </c>
      <c r="N6" s="2">
        <f t="shared" si="4"/>
        <v>2.0321402859874045</v>
      </c>
      <c r="O6" s="11"/>
      <c r="P6" s="11"/>
      <c r="Q6" s="14"/>
    </row>
    <row r="7" spans="1:17" x14ac:dyDescent="0.35">
      <c r="A7" s="5">
        <v>6</v>
      </c>
      <c r="B7" s="5" t="s">
        <v>24</v>
      </c>
      <c r="C7" s="5" t="s">
        <v>25</v>
      </c>
      <c r="D7" s="5" t="s">
        <v>26</v>
      </c>
      <c r="E7" s="5" t="s">
        <v>27</v>
      </c>
      <c r="F7" s="6">
        <v>18.03</v>
      </c>
      <c r="G7" s="6">
        <v>16.78</v>
      </c>
      <c r="H7" s="6">
        <f t="shared" si="1"/>
        <v>17.405000000000001</v>
      </c>
      <c r="I7" s="6">
        <v>19.93</v>
      </c>
      <c r="J7" s="6">
        <v>19.309999999999999</v>
      </c>
      <c r="K7" s="6">
        <f t="shared" si="2"/>
        <v>19.619999999999997</v>
      </c>
      <c r="L7" s="6">
        <f t="shared" si="3"/>
        <v>2.2149999999999963</v>
      </c>
      <c r="M7" s="6">
        <f t="shared" si="0"/>
        <v>-1.9730000000000034</v>
      </c>
      <c r="N7" s="5">
        <f t="shared" si="4"/>
        <v>3.9258362554139259</v>
      </c>
      <c r="O7" s="15">
        <f t="shared" ref="O7:O17" si="5">AVERAGE(K7:K11)-AVERAGE(H7:H11)</f>
        <v>2.3590000000000018</v>
      </c>
      <c r="P7" s="15">
        <f>O7-$O$17</f>
        <v>-1.8289999999999971</v>
      </c>
      <c r="Q7" s="18">
        <f t="shared" ref="Q7:Q17" si="6">2^(-P7)</f>
        <v>3.5529071833696126</v>
      </c>
    </row>
    <row r="8" spans="1:17" x14ac:dyDescent="0.35">
      <c r="A8" s="5">
        <v>7</v>
      </c>
      <c r="B8" s="5" t="s">
        <v>28</v>
      </c>
      <c r="C8" s="5" t="s">
        <v>29</v>
      </c>
      <c r="D8" s="5" t="s">
        <v>26</v>
      </c>
      <c r="E8" s="5" t="s">
        <v>27</v>
      </c>
      <c r="F8" s="6">
        <v>20.03</v>
      </c>
      <c r="G8" s="6">
        <v>19.829999999999998</v>
      </c>
      <c r="H8" s="6">
        <f t="shared" si="1"/>
        <v>19.93</v>
      </c>
      <c r="I8" s="6">
        <v>21.66</v>
      </c>
      <c r="J8" s="6">
        <v>21.2</v>
      </c>
      <c r="K8" s="6">
        <f t="shared" si="2"/>
        <v>21.43</v>
      </c>
      <c r="L8" s="6">
        <f t="shared" si="3"/>
        <v>1.5</v>
      </c>
      <c r="M8" s="6">
        <f t="shared" si="0"/>
        <v>-2.6879999999999997</v>
      </c>
      <c r="N8" s="5">
        <f t="shared" si="4"/>
        <v>6.4441943283900009</v>
      </c>
      <c r="O8" s="16"/>
      <c r="P8" s="16"/>
      <c r="Q8" s="19"/>
    </row>
    <row r="9" spans="1:17" x14ac:dyDescent="0.35">
      <c r="A9" s="5">
        <v>8</v>
      </c>
      <c r="B9" s="5" t="s">
        <v>30</v>
      </c>
      <c r="C9" s="5" t="s">
        <v>31</v>
      </c>
      <c r="D9" s="5" t="s">
        <v>26</v>
      </c>
      <c r="E9" s="5" t="s">
        <v>27</v>
      </c>
      <c r="F9" s="6">
        <v>16.23</v>
      </c>
      <c r="G9" s="6">
        <v>16.84</v>
      </c>
      <c r="H9" s="6">
        <f t="shared" si="1"/>
        <v>16.535</v>
      </c>
      <c r="I9" s="6">
        <v>20</v>
      </c>
      <c r="J9" s="6">
        <v>20.16</v>
      </c>
      <c r="K9" s="6">
        <f t="shared" si="2"/>
        <v>20.079999999999998</v>
      </c>
      <c r="L9" s="6">
        <f t="shared" si="3"/>
        <v>3.5449999999999982</v>
      </c>
      <c r="M9" s="6">
        <f t="shared" si="0"/>
        <v>-0.64300000000000157</v>
      </c>
      <c r="N9" s="5">
        <f t="shared" si="4"/>
        <v>1.5615729852147839</v>
      </c>
      <c r="O9" s="16"/>
      <c r="P9" s="16"/>
      <c r="Q9" s="19"/>
    </row>
    <row r="10" spans="1:17" x14ac:dyDescent="0.35">
      <c r="A10" s="5">
        <v>9</v>
      </c>
      <c r="B10" s="5" t="s">
        <v>32</v>
      </c>
      <c r="C10" s="5" t="s">
        <v>33</v>
      </c>
      <c r="D10" s="5" t="s">
        <v>26</v>
      </c>
      <c r="E10" s="5" t="s">
        <v>27</v>
      </c>
      <c r="F10" s="6">
        <v>16.82</v>
      </c>
      <c r="G10" s="6">
        <v>16.82</v>
      </c>
      <c r="H10" s="6">
        <f t="shared" si="1"/>
        <v>16.82</v>
      </c>
      <c r="I10" s="6">
        <v>18.03</v>
      </c>
      <c r="J10" s="6">
        <v>18.13</v>
      </c>
      <c r="K10" s="6">
        <f t="shared" si="2"/>
        <v>18.079999999999998</v>
      </c>
      <c r="L10" s="6">
        <f t="shared" si="3"/>
        <v>1.259999999999998</v>
      </c>
      <c r="M10" s="6">
        <f t="shared" si="0"/>
        <v>-2.9280000000000017</v>
      </c>
      <c r="N10" s="5">
        <f t="shared" si="4"/>
        <v>7.6105462106544008</v>
      </c>
      <c r="O10" s="16"/>
      <c r="P10" s="16"/>
      <c r="Q10" s="19"/>
    </row>
    <row r="11" spans="1:17" x14ac:dyDescent="0.35">
      <c r="A11" s="5">
        <v>10</v>
      </c>
      <c r="B11" s="5" t="s">
        <v>34</v>
      </c>
      <c r="C11" s="5" t="s">
        <v>35</v>
      </c>
      <c r="D11" s="5" t="s">
        <v>26</v>
      </c>
      <c r="E11" s="5" t="s">
        <v>36</v>
      </c>
      <c r="F11" s="6">
        <v>17.600000000000001</v>
      </c>
      <c r="G11" s="6">
        <v>17.78</v>
      </c>
      <c r="H11" s="6">
        <f t="shared" si="1"/>
        <v>17.690000000000001</v>
      </c>
      <c r="I11" s="6">
        <v>20.86</v>
      </c>
      <c r="J11" s="6">
        <v>21.07</v>
      </c>
      <c r="K11" s="6">
        <f t="shared" si="2"/>
        <v>20.965</v>
      </c>
      <c r="L11" s="6">
        <f t="shared" si="3"/>
        <v>3.2749999999999986</v>
      </c>
      <c r="M11" s="6">
        <f t="shared" si="0"/>
        <v>-0.91300000000000114</v>
      </c>
      <c r="N11" s="5">
        <f t="shared" si="4"/>
        <v>1.882956929082414</v>
      </c>
      <c r="O11" s="17"/>
      <c r="P11" s="17"/>
      <c r="Q11" s="20"/>
    </row>
    <row r="12" spans="1:17" x14ac:dyDescent="0.35">
      <c r="A12" s="2">
        <v>11</v>
      </c>
      <c r="B12" s="2" t="s">
        <v>37</v>
      </c>
      <c r="C12" s="2" t="s">
        <v>38</v>
      </c>
      <c r="D12" s="2" t="s">
        <v>39</v>
      </c>
      <c r="E12" s="2" t="s">
        <v>40</v>
      </c>
      <c r="F12" s="3">
        <v>16.27</v>
      </c>
      <c r="G12" s="3">
        <v>16.829999999999998</v>
      </c>
      <c r="H12" s="3">
        <f t="shared" si="1"/>
        <v>16.549999999999997</v>
      </c>
      <c r="I12" s="3">
        <v>19.8</v>
      </c>
      <c r="J12" s="3">
        <v>20.010000000000002</v>
      </c>
      <c r="K12" s="3">
        <f t="shared" si="2"/>
        <v>19.905000000000001</v>
      </c>
      <c r="L12" s="3">
        <f t="shared" si="3"/>
        <v>3.355000000000004</v>
      </c>
      <c r="M12" s="3">
        <f t="shared" si="0"/>
        <v>-0.83299999999999574</v>
      </c>
      <c r="N12" s="2">
        <f t="shared" si="4"/>
        <v>1.7813858012133565</v>
      </c>
      <c r="O12" s="9">
        <f t="shared" si="5"/>
        <v>2.6490000000000009</v>
      </c>
      <c r="P12" s="9">
        <f>O12-$O$17</f>
        <v>-1.5389999999999979</v>
      </c>
      <c r="Q12" s="12">
        <f t="shared" si="6"/>
        <v>2.9059300991427355</v>
      </c>
    </row>
    <row r="13" spans="1:17" x14ac:dyDescent="0.35">
      <c r="A13" s="2">
        <v>12</v>
      </c>
      <c r="B13" s="2" t="s">
        <v>41</v>
      </c>
      <c r="C13" s="2" t="s">
        <v>42</v>
      </c>
      <c r="D13" s="2" t="s">
        <v>39</v>
      </c>
      <c r="E13" s="2" t="s">
        <v>43</v>
      </c>
      <c r="F13" s="3">
        <v>16.829999999999998</v>
      </c>
      <c r="G13" s="3">
        <v>17.23</v>
      </c>
      <c r="H13" s="3">
        <f t="shared" si="1"/>
        <v>17.03</v>
      </c>
      <c r="I13" s="3">
        <v>20.309999999999999</v>
      </c>
      <c r="J13" s="3">
        <v>20.68</v>
      </c>
      <c r="K13" s="3">
        <f t="shared" si="2"/>
        <v>20.494999999999997</v>
      </c>
      <c r="L13" s="3">
        <f t="shared" si="3"/>
        <v>3.4649999999999963</v>
      </c>
      <c r="M13" s="3">
        <f t="shared" si="0"/>
        <v>-0.72300000000000342</v>
      </c>
      <c r="N13" s="2">
        <f t="shared" si="4"/>
        <v>1.6506108170253184</v>
      </c>
      <c r="O13" s="10"/>
      <c r="P13" s="10"/>
      <c r="Q13" s="13"/>
    </row>
    <row r="14" spans="1:17" x14ac:dyDescent="0.35">
      <c r="A14" s="2">
        <v>13</v>
      </c>
      <c r="B14" s="2" t="s">
        <v>44</v>
      </c>
      <c r="C14" s="2" t="s">
        <v>45</v>
      </c>
      <c r="D14" s="2" t="s">
        <v>39</v>
      </c>
      <c r="E14" s="2" t="s">
        <v>46</v>
      </c>
      <c r="F14" s="3">
        <v>18.649999999999999</v>
      </c>
      <c r="G14" s="3">
        <v>18.8</v>
      </c>
      <c r="H14" s="3">
        <f t="shared" si="1"/>
        <v>18.725000000000001</v>
      </c>
      <c r="I14" s="3">
        <v>20.99</v>
      </c>
      <c r="J14" s="3">
        <v>23.1</v>
      </c>
      <c r="K14" s="3">
        <f t="shared" si="2"/>
        <v>22.045000000000002</v>
      </c>
      <c r="L14" s="3">
        <f t="shared" si="3"/>
        <v>3.3200000000000003</v>
      </c>
      <c r="M14" s="3">
        <f t="shared" si="0"/>
        <v>-0.86799999999999944</v>
      </c>
      <c r="N14" s="2">
        <f t="shared" si="4"/>
        <v>1.8251309770869029</v>
      </c>
      <c r="O14" s="10"/>
      <c r="P14" s="10"/>
      <c r="Q14" s="13"/>
    </row>
    <row r="15" spans="1:17" x14ac:dyDescent="0.35">
      <c r="A15" s="2">
        <v>14</v>
      </c>
      <c r="B15" s="2" t="s">
        <v>47</v>
      </c>
      <c r="C15" s="2" t="s">
        <v>48</v>
      </c>
      <c r="D15" s="2" t="s">
        <v>39</v>
      </c>
      <c r="E15" s="2" t="s">
        <v>49</v>
      </c>
      <c r="F15" s="3">
        <v>18</v>
      </c>
      <c r="G15" s="3">
        <v>18.399999999999999</v>
      </c>
      <c r="H15" s="3">
        <f t="shared" si="1"/>
        <v>18.2</v>
      </c>
      <c r="I15" s="3">
        <v>21.19</v>
      </c>
      <c r="J15" s="3">
        <v>21.14</v>
      </c>
      <c r="K15" s="3">
        <f t="shared" si="2"/>
        <v>21.164999999999999</v>
      </c>
      <c r="L15" s="3">
        <f t="shared" si="3"/>
        <v>2.9649999999999999</v>
      </c>
      <c r="M15" s="3">
        <f t="shared" si="0"/>
        <v>-1.2229999999999999</v>
      </c>
      <c r="N15" s="2">
        <f t="shared" si="4"/>
        <v>2.3343162036369347</v>
      </c>
      <c r="O15" s="10"/>
      <c r="P15" s="10"/>
      <c r="Q15" s="13"/>
    </row>
    <row r="16" spans="1:17" x14ac:dyDescent="0.35">
      <c r="A16" s="2">
        <v>15</v>
      </c>
      <c r="B16" s="2" t="s">
        <v>50</v>
      </c>
      <c r="C16" s="2" t="s">
        <v>51</v>
      </c>
      <c r="D16" s="2" t="s">
        <v>39</v>
      </c>
      <c r="E16" s="2" t="s">
        <v>52</v>
      </c>
      <c r="F16" s="4">
        <v>20.010000000000002</v>
      </c>
      <c r="G16" s="4">
        <v>20.3</v>
      </c>
      <c r="H16" s="3">
        <f t="shared" si="1"/>
        <v>20.155000000000001</v>
      </c>
      <c r="I16" s="3">
        <v>20.28</v>
      </c>
      <c r="J16" s="3">
        <v>20.309999999999999</v>
      </c>
      <c r="K16" s="3">
        <f t="shared" si="2"/>
        <v>20.295000000000002</v>
      </c>
      <c r="L16" s="3">
        <f t="shared" si="3"/>
        <v>0.14000000000000057</v>
      </c>
      <c r="M16" s="3">
        <f t="shared" si="0"/>
        <v>-4.0479999999999992</v>
      </c>
      <c r="N16" s="2">
        <f t="shared" si="4"/>
        <v>16.54129177996742</v>
      </c>
      <c r="O16" s="11"/>
      <c r="P16" s="11"/>
      <c r="Q16" s="14"/>
    </row>
    <row r="17" spans="1:17" x14ac:dyDescent="0.35">
      <c r="A17" s="5">
        <v>16</v>
      </c>
      <c r="B17" s="5" t="s">
        <v>53</v>
      </c>
      <c r="C17" s="5" t="s">
        <v>54</v>
      </c>
      <c r="D17" s="5" t="s">
        <v>55</v>
      </c>
      <c r="E17" s="7">
        <v>30</v>
      </c>
      <c r="F17" s="6">
        <v>19.329999999999998</v>
      </c>
      <c r="G17" s="6">
        <v>20.07</v>
      </c>
      <c r="H17" s="6">
        <f t="shared" si="1"/>
        <v>19.7</v>
      </c>
      <c r="I17" s="6">
        <v>27.18</v>
      </c>
      <c r="J17" s="6">
        <v>27.09</v>
      </c>
      <c r="K17" s="6">
        <f t="shared" si="2"/>
        <v>27.134999999999998</v>
      </c>
      <c r="L17" s="6">
        <f t="shared" si="3"/>
        <v>7.4349999999999987</v>
      </c>
      <c r="M17" s="6">
        <f>L17-L17</f>
        <v>0</v>
      </c>
      <c r="N17" s="5">
        <f t="shared" si="4"/>
        <v>1</v>
      </c>
      <c r="O17" s="15">
        <f t="shared" si="5"/>
        <v>4.1879999999999988</v>
      </c>
      <c r="P17" s="15">
        <f>O17-$O$17</f>
        <v>0</v>
      </c>
      <c r="Q17" s="18">
        <f t="shared" si="6"/>
        <v>1</v>
      </c>
    </row>
    <row r="18" spans="1:17" x14ac:dyDescent="0.35">
      <c r="A18" s="5">
        <v>17</v>
      </c>
      <c r="B18" s="5" t="s">
        <v>56</v>
      </c>
      <c r="C18" s="5" t="s">
        <v>57</v>
      </c>
      <c r="D18" s="5" t="s">
        <v>55</v>
      </c>
      <c r="E18" s="7">
        <v>33</v>
      </c>
      <c r="F18" s="6">
        <v>16.170000000000002</v>
      </c>
      <c r="G18" s="6">
        <v>16.829999999999998</v>
      </c>
      <c r="H18" s="6">
        <f t="shared" si="1"/>
        <v>16.5</v>
      </c>
      <c r="I18" s="6">
        <v>19.63</v>
      </c>
      <c r="J18" s="6">
        <v>19.38</v>
      </c>
      <c r="K18" s="6">
        <f t="shared" si="2"/>
        <v>19.504999999999999</v>
      </c>
      <c r="L18" s="6">
        <f t="shared" si="3"/>
        <v>3.004999999999999</v>
      </c>
      <c r="M18" s="6">
        <f t="shared" ref="M18:M21" si="7">L18-L18</f>
        <v>0</v>
      </c>
      <c r="N18" s="5">
        <f t="shared" si="4"/>
        <v>1</v>
      </c>
      <c r="O18" s="16"/>
      <c r="P18" s="16"/>
      <c r="Q18" s="19"/>
    </row>
    <row r="19" spans="1:17" x14ac:dyDescent="0.35">
      <c r="A19" s="5">
        <v>18</v>
      </c>
      <c r="B19" s="5" t="s">
        <v>58</v>
      </c>
      <c r="C19" s="5" t="s">
        <v>59</v>
      </c>
      <c r="D19" s="5" t="s">
        <v>55</v>
      </c>
      <c r="E19" s="7">
        <v>34</v>
      </c>
      <c r="F19" s="6">
        <v>17.16</v>
      </c>
      <c r="G19" s="6">
        <v>17.28</v>
      </c>
      <c r="H19" s="6">
        <f t="shared" si="1"/>
        <v>17.22</v>
      </c>
      <c r="I19" s="6">
        <v>19.41</v>
      </c>
      <c r="J19" s="6">
        <v>19.41</v>
      </c>
      <c r="K19" s="6">
        <f t="shared" si="2"/>
        <v>19.41</v>
      </c>
      <c r="L19" s="6">
        <f t="shared" si="3"/>
        <v>2.1900000000000013</v>
      </c>
      <c r="M19" s="6">
        <f t="shared" si="7"/>
        <v>0</v>
      </c>
      <c r="N19" s="5">
        <f t="shared" si="4"/>
        <v>1</v>
      </c>
      <c r="O19" s="16"/>
      <c r="P19" s="16"/>
      <c r="Q19" s="19"/>
    </row>
    <row r="20" spans="1:17" x14ac:dyDescent="0.35">
      <c r="A20" s="5">
        <v>19</v>
      </c>
      <c r="B20" s="5" t="s">
        <v>60</v>
      </c>
      <c r="C20" s="5" t="s">
        <v>61</v>
      </c>
      <c r="D20" s="5" t="s">
        <v>55</v>
      </c>
      <c r="E20" s="7">
        <v>36</v>
      </c>
      <c r="F20" s="6">
        <v>16.32</v>
      </c>
      <c r="G20" s="6">
        <v>17</v>
      </c>
      <c r="H20" s="6">
        <f t="shared" si="1"/>
        <v>16.66</v>
      </c>
      <c r="I20" s="6">
        <v>19.850000000000001</v>
      </c>
      <c r="J20" s="6">
        <v>20.350000000000001</v>
      </c>
      <c r="K20" s="6">
        <f t="shared" si="2"/>
        <v>20.100000000000001</v>
      </c>
      <c r="L20" s="6">
        <f t="shared" si="3"/>
        <v>3.4400000000000013</v>
      </c>
      <c r="M20" s="6">
        <f t="shared" si="7"/>
        <v>0</v>
      </c>
      <c r="N20" s="5">
        <f t="shared" si="4"/>
        <v>1</v>
      </c>
      <c r="O20" s="16"/>
      <c r="P20" s="16"/>
      <c r="Q20" s="19"/>
    </row>
    <row r="21" spans="1:17" x14ac:dyDescent="0.35">
      <c r="A21" s="5">
        <v>20</v>
      </c>
      <c r="B21" s="5" t="s">
        <v>62</v>
      </c>
      <c r="C21" s="5" t="s">
        <v>63</v>
      </c>
      <c r="D21" s="5" t="s">
        <v>55</v>
      </c>
      <c r="E21" s="7">
        <v>39</v>
      </c>
      <c r="F21" s="6">
        <v>17.010000000000002</v>
      </c>
      <c r="G21" s="6">
        <v>17.39</v>
      </c>
      <c r="H21" s="6">
        <f t="shared" si="1"/>
        <v>17.200000000000003</v>
      </c>
      <c r="I21" s="6">
        <v>22.11</v>
      </c>
      <c r="J21" s="6">
        <v>22.03</v>
      </c>
      <c r="K21" s="6">
        <f t="shared" si="2"/>
        <v>22.07</v>
      </c>
      <c r="L21" s="6">
        <f t="shared" si="3"/>
        <v>4.8699999999999974</v>
      </c>
      <c r="M21" s="6">
        <f t="shared" si="7"/>
        <v>0</v>
      </c>
      <c r="N21" s="5">
        <f t="shared" si="4"/>
        <v>1</v>
      </c>
      <c r="O21" s="17"/>
      <c r="P21" s="17"/>
      <c r="Q21" s="20"/>
    </row>
    <row r="22" spans="1:17" x14ac:dyDescent="0.35">
      <c r="A22" s="2">
        <v>21</v>
      </c>
      <c r="B22" s="2" t="s">
        <v>64</v>
      </c>
      <c r="C22" s="2" t="s">
        <v>65</v>
      </c>
      <c r="D22" s="2" t="s">
        <v>66</v>
      </c>
      <c r="E22" s="2" t="s">
        <v>67</v>
      </c>
      <c r="F22" s="3">
        <v>17.760000000000002</v>
      </c>
      <c r="G22" s="3">
        <v>17.91</v>
      </c>
      <c r="H22" s="3">
        <f>AVERAGE(F22:G22)</f>
        <v>17.835000000000001</v>
      </c>
      <c r="I22" s="3">
        <v>20.97</v>
      </c>
      <c r="J22" s="3">
        <v>21.17</v>
      </c>
      <c r="K22" s="3">
        <f>AVERAGE(I22:J22)</f>
        <v>21.07</v>
      </c>
      <c r="L22" s="3">
        <f>K22-H22</f>
        <v>3.2349999999999994</v>
      </c>
      <c r="M22" s="3">
        <f>L22-(AVERAGE($L$17:$L$21))</f>
        <v>-0.95300000000000029</v>
      </c>
      <c r="N22" s="2">
        <f>2^(-M22)</f>
        <v>1.9358940537874751</v>
      </c>
      <c r="O22" s="9">
        <f>AVERAGE(K22:K26)-AVERAGE(H22:H26)</f>
        <v>3.093</v>
      </c>
      <c r="P22" s="9">
        <f t="shared" ref="P22" si="8">O22-$O$17</f>
        <v>-1.0949999999999989</v>
      </c>
      <c r="Q22" s="12">
        <f>2^(-P22)</f>
        <v>2.1361308160957013</v>
      </c>
    </row>
    <row r="23" spans="1:17" x14ac:dyDescent="0.35">
      <c r="A23" s="2">
        <v>22</v>
      </c>
      <c r="B23" s="2" t="s">
        <v>68</v>
      </c>
      <c r="C23" s="2" t="s">
        <v>69</v>
      </c>
      <c r="D23" s="2" t="s">
        <v>66</v>
      </c>
      <c r="E23" s="2" t="s">
        <v>70</v>
      </c>
      <c r="F23" s="3">
        <v>16.010000000000002</v>
      </c>
      <c r="G23" s="3">
        <v>16.36</v>
      </c>
      <c r="H23" s="3">
        <f>AVERAGE(F23:G23)</f>
        <v>16.185000000000002</v>
      </c>
      <c r="I23" s="3">
        <v>20.239999999999998</v>
      </c>
      <c r="J23" s="3">
        <v>20.25</v>
      </c>
      <c r="K23" s="3">
        <f>AVERAGE(I23:J23)</f>
        <v>20.244999999999997</v>
      </c>
      <c r="L23" s="3">
        <f>K23-H23</f>
        <v>4.0599999999999952</v>
      </c>
      <c r="M23" s="3">
        <f>L23-(AVERAGE($L$17:$L$21))</f>
        <v>-0.12800000000000455</v>
      </c>
      <c r="N23" s="2">
        <f>2^(-M23)</f>
        <v>1.0927777391009559</v>
      </c>
      <c r="O23" s="10"/>
      <c r="P23" s="10"/>
      <c r="Q23" s="13"/>
    </row>
    <row r="24" spans="1:17" x14ac:dyDescent="0.35">
      <c r="A24" s="2">
        <v>23</v>
      </c>
      <c r="B24" s="2" t="s">
        <v>71</v>
      </c>
      <c r="C24" s="2" t="s">
        <v>72</v>
      </c>
      <c r="D24" s="2" t="s">
        <v>66</v>
      </c>
      <c r="E24" s="2" t="s">
        <v>73</v>
      </c>
      <c r="F24" s="3">
        <v>16.899999999999999</v>
      </c>
      <c r="G24" s="3">
        <v>17.04</v>
      </c>
      <c r="H24" s="3">
        <f>AVERAGE(F24:G24)</f>
        <v>16.97</v>
      </c>
      <c r="I24" s="3">
        <v>19.149999999999999</v>
      </c>
      <c r="J24" s="3">
        <v>19.23</v>
      </c>
      <c r="K24" s="3">
        <f>AVERAGE(I24:J24)</f>
        <v>19.189999999999998</v>
      </c>
      <c r="L24" s="3">
        <f>K24-H24</f>
        <v>2.2199999999999989</v>
      </c>
      <c r="M24" s="3">
        <f>L24-(AVERAGE($L$17:$L$21))</f>
        <v>-1.9680000000000009</v>
      </c>
      <c r="N24" s="2">
        <f>2^(-M24)</f>
        <v>3.9122538937893596</v>
      </c>
      <c r="O24" s="10"/>
      <c r="P24" s="10"/>
      <c r="Q24" s="13"/>
    </row>
    <row r="25" spans="1:17" x14ac:dyDescent="0.35">
      <c r="A25" s="2">
        <v>24</v>
      </c>
      <c r="B25" s="2" t="s">
        <v>74</v>
      </c>
      <c r="C25" s="2" t="s">
        <v>75</v>
      </c>
      <c r="D25" s="2" t="s">
        <v>66</v>
      </c>
      <c r="E25" s="2" t="s">
        <v>76</v>
      </c>
      <c r="F25" s="3">
        <v>17.66</v>
      </c>
      <c r="G25" s="3">
        <v>17.78</v>
      </c>
      <c r="H25" s="3">
        <f>AVERAGE(F25:G25)</f>
        <v>17.72</v>
      </c>
      <c r="I25" s="3">
        <v>19.98</v>
      </c>
      <c r="J25" s="3">
        <v>20.440000000000001</v>
      </c>
      <c r="K25" s="3">
        <f>AVERAGE(I25:J25)</f>
        <v>20.21</v>
      </c>
      <c r="L25" s="3">
        <f>K25-H25</f>
        <v>2.490000000000002</v>
      </c>
      <c r="M25" s="3">
        <f>L25-(AVERAGE($L$17:$L$21))</f>
        <v>-1.6979999999999977</v>
      </c>
      <c r="N25" s="2">
        <f>2^(-M25)</f>
        <v>3.2445086223081661</v>
      </c>
      <c r="O25" s="10"/>
      <c r="P25" s="10"/>
      <c r="Q25" s="13"/>
    </row>
    <row r="26" spans="1:17" x14ac:dyDescent="0.35">
      <c r="A26" s="2">
        <v>25</v>
      </c>
      <c r="B26" s="2" t="s">
        <v>77</v>
      </c>
      <c r="C26" s="2" t="s">
        <v>78</v>
      </c>
      <c r="D26" s="2" t="s">
        <v>66</v>
      </c>
      <c r="E26" s="2" t="s">
        <v>79</v>
      </c>
      <c r="F26" s="3">
        <v>17.21</v>
      </c>
      <c r="G26" s="3">
        <v>17.88</v>
      </c>
      <c r="H26" s="3">
        <f>AVERAGE(F26:G26)</f>
        <v>17.545000000000002</v>
      </c>
      <c r="I26" s="3">
        <v>21</v>
      </c>
      <c r="J26" s="3">
        <v>21.01</v>
      </c>
      <c r="K26" s="3">
        <f>AVERAGE(I26:J26)</f>
        <v>21.005000000000003</v>
      </c>
      <c r="L26" s="3">
        <f>K26-H26</f>
        <v>3.4600000000000009</v>
      </c>
      <c r="M26" s="3">
        <f>L26-(AVERAGE($L$17:$L$21))</f>
        <v>-0.72799999999999887</v>
      </c>
      <c r="N26" s="2">
        <f>2^(-M26)</f>
        <v>1.65634132266909</v>
      </c>
      <c r="O26" s="11"/>
      <c r="P26" s="11"/>
      <c r="Q26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BF82F-66C4-433A-A9D8-7A0F4FBBBF35}">
  <dimension ref="A1:Q26"/>
  <sheetViews>
    <sheetView tabSelected="1" workbookViewId="0">
      <selection activeCell="H4" sqref="H4"/>
    </sheetView>
  </sheetViews>
  <sheetFormatPr defaultRowHeight="14.5" x14ac:dyDescent="0.35"/>
  <cols>
    <col min="1" max="1" width="3.1796875" bestFit="1" customWidth="1"/>
    <col min="2" max="2" width="6.90625" bestFit="1" customWidth="1"/>
    <col min="3" max="3" width="9.90625" bestFit="1" customWidth="1"/>
    <col min="4" max="4" width="11" bestFit="1" customWidth="1"/>
    <col min="5" max="5" width="24.453125" bestFit="1" customWidth="1"/>
    <col min="6" max="6" width="9.453125" bestFit="1" customWidth="1"/>
    <col min="7" max="7" width="10" bestFit="1" customWidth="1"/>
    <col min="8" max="8" width="12.1796875" bestFit="1" customWidth="1"/>
    <col min="9" max="9" width="11.26953125" bestFit="1" customWidth="1"/>
    <col min="10" max="10" width="11.81640625" bestFit="1" customWidth="1"/>
    <col min="11" max="11" width="14.08984375" bestFit="1" customWidth="1"/>
    <col min="12" max="12" width="5.26953125" bestFit="1" customWidth="1"/>
    <col min="13" max="13" width="5" bestFit="1" customWidth="1"/>
    <col min="14" max="14" width="15.54296875" bestFit="1" customWidth="1"/>
    <col min="15" max="15" width="9.08984375" bestFit="1" customWidth="1"/>
    <col min="16" max="16" width="10.26953125" bestFit="1" customWidth="1"/>
    <col min="17" max="17" width="22" bestFit="1" customWidth="1"/>
  </cols>
  <sheetData>
    <row r="1" spans="1:17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80</v>
      </c>
      <c r="G1" s="1" t="s">
        <v>81</v>
      </c>
      <c r="H1" s="1" t="s">
        <v>82</v>
      </c>
      <c r="I1" s="1" t="s">
        <v>89</v>
      </c>
      <c r="J1" s="1" t="s">
        <v>90</v>
      </c>
      <c r="K1" s="1" t="s">
        <v>91</v>
      </c>
      <c r="L1" s="8" t="s">
        <v>5</v>
      </c>
      <c r="M1" s="8" t="s">
        <v>6</v>
      </c>
      <c r="N1" s="8" t="s">
        <v>7</v>
      </c>
      <c r="O1" s="8" t="s">
        <v>88</v>
      </c>
      <c r="P1" s="8" t="s">
        <v>87</v>
      </c>
      <c r="Q1" s="8" t="s">
        <v>86</v>
      </c>
    </row>
    <row r="2" spans="1:17" x14ac:dyDescent="0.3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3">
        <v>15.11</v>
      </c>
      <c r="G2" s="3">
        <v>15.07</v>
      </c>
      <c r="H2" s="3">
        <f>AVERAGE(F2:G2)</f>
        <v>15.09</v>
      </c>
      <c r="I2" s="3">
        <v>27.52</v>
      </c>
      <c r="J2" s="3">
        <v>29.06</v>
      </c>
      <c r="K2" s="3">
        <f>AVERAGE(I2:J2)</f>
        <v>28.29</v>
      </c>
      <c r="L2" s="3">
        <f>K2-H2</f>
        <v>13.2</v>
      </c>
      <c r="M2" s="3">
        <f t="shared" ref="M2:M21" si="0">L2-(AVERAGE($L$22:$L$26))</f>
        <v>-3.4339999999999975</v>
      </c>
      <c r="N2" s="2">
        <f>2^(-M2)</f>
        <v>10.80779267628508</v>
      </c>
      <c r="O2" s="21">
        <f>AVERAGE(K2:K6)-AVERAGE(H2:H6)</f>
        <v>15.448000000000004</v>
      </c>
      <c r="P2" s="21">
        <f>O2-$O$22</f>
        <v>-1.1859999999999928</v>
      </c>
      <c r="Q2" s="22">
        <f>2^(-P2)</f>
        <v>2.2752104557449981</v>
      </c>
    </row>
    <row r="3" spans="1:17" x14ac:dyDescent="0.35">
      <c r="A3" s="2">
        <v>2</v>
      </c>
      <c r="B3" s="2" t="s">
        <v>12</v>
      </c>
      <c r="C3" s="2" t="s">
        <v>13</v>
      </c>
      <c r="D3" s="2" t="s">
        <v>10</v>
      </c>
      <c r="E3" s="2" t="s">
        <v>14</v>
      </c>
      <c r="F3" s="3">
        <v>18.82</v>
      </c>
      <c r="G3" s="3">
        <v>18.23</v>
      </c>
      <c r="H3" s="3">
        <f t="shared" ref="H3:H26" si="1">AVERAGE(F3:G3)</f>
        <v>18.524999999999999</v>
      </c>
      <c r="I3" s="3">
        <v>31.98</v>
      </c>
      <c r="J3" s="3">
        <v>32.299999999999997</v>
      </c>
      <c r="K3" s="3">
        <f t="shared" ref="K3:K26" si="2">AVERAGE(I3:J3)</f>
        <v>32.14</v>
      </c>
      <c r="L3" s="3">
        <f t="shared" ref="L3:L26" si="3">K3-H3</f>
        <v>13.615000000000002</v>
      </c>
      <c r="M3" s="3">
        <f t="shared" si="0"/>
        <v>-3.0189999999999948</v>
      </c>
      <c r="N3" s="2">
        <f t="shared" ref="N3:N26" si="4">2^(-M3)</f>
        <v>8.106055201272655</v>
      </c>
      <c r="O3" s="21"/>
      <c r="P3" s="21"/>
      <c r="Q3" s="22"/>
    </row>
    <row r="4" spans="1:17" x14ac:dyDescent="0.35">
      <c r="A4" s="2">
        <v>3</v>
      </c>
      <c r="B4" s="2" t="s">
        <v>15</v>
      </c>
      <c r="C4" s="2" t="s">
        <v>16</v>
      </c>
      <c r="D4" s="2" t="s">
        <v>10</v>
      </c>
      <c r="E4" s="2" t="s">
        <v>17</v>
      </c>
      <c r="F4" s="3">
        <v>16.559999999999999</v>
      </c>
      <c r="G4" s="3">
        <v>17.75</v>
      </c>
      <c r="H4" s="3">
        <f t="shared" si="1"/>
        <v>17.155000000000001</v>
      </c>
      <c r="I4" s="3">
        <v>34.29</v>
      </c>
      <c r="J4" s="3">
        <v>36.6</v>
      </c>
      <c r="K4" s="3">
        <f t="shared" si="2"/>
        <v>35.445</v>
      </c>
      <c r="L4" s="3">
        <f t="shared" si="3"/>
        <v>18.29</v>
      </c>
      <c r="M4" s="3">
        <f t="shared" si="0"/>
        <v>1.6560000000000024</v>
      </c>
      <c r="N4" s="2">
        <f t="shared" si="4"/>
        <v>0.31731772150495069</v>
      </c>
      <c r="O4" s="21"/>
      <c r="P4" s="21"/>
      <c r="Q4" s="22"/>
    </row>
    <row r="5" spans="1:17" x14ac:dyDescent="0.35">
      <c r="A5" s="2">
        <v>4</v>
      </c>
      <c r="B5" s="2" t="s">
        <v>18</v>
      </c>
      <c r="C5" s="2" t="s">
        <v>19</v>
      </c>
      <c r="D5" s="2" t="s">
        <v>10</v>
      </c>
      <c r="E5" s="2" t="s">
        <v>20</v>
      </c>
      <c r="F5" s="3">
        <v>16.13</v>
      </c>
      <c r="G5" s="3">
        <v>15.98</v>
      </c>
      <c r="H5" s="3">
        <f t="shared" si="1"/>
        <v>16.055</v>
      </c>
      <c r="I5" s="3">
        <v>32.4</v>
      </c>
      <c r="J5" s="3">
        <v>33.340000000000003</v>
      </c>
      <c r="K5" s="3">
        <f t="shared" si="2"/>
        <v>32.870000000000005</v>
      </c>
      <c r="L5" s="3">
        <f t="shared" si="3"/>
        <v>16.815000000000005</v>
      </c>
      <c r="M5" s="3">
        <f t="shared" si="0"/>
        <v>0.18100000000000804</v>
      </c>
      <c r="N5" s="2">
        <f t="shared" si="4"/>
        <v>0.88209136519717168</v>
      </c>
      <c r="O5" s="21"/>
      <c r="P5" s="21"/>
      <c r="Q5" s="22"/>
    </row>
    <row r="6" spans="1:17" x14ac:dyDescent="0.35">
      <c r="A6" s="2">
        <v>5</v>
      </c>
      <c r="B6" s="2" t="s">
        <v>21</v>
      </c>
      <c r="C6" s="2" t="s">
        <v>22</v>
      </c>
      <c r="D6" s="2" t="s">
        <v>10</v>
      </c>
      <c r="E6" s="2" t="s">
        <v>23</v>
      </c>
      <c r="F6" s="4">
        <v>17.100000000000001</v>
      </c>
      <c r="G6" s="4">
        <v>17.72</v>
      </c>
      <c r="H6" s="3">
        <f t="shared" si="1"/>
        <v>17.41</v>
      </c>
      <c r="I6" s="4">
        <v>32.65</v>
      </c>
      <c r="J6" s="3">
        <v>32.81</v>
      </c>
      <c r="K6" s="3">
        <f t="shared" si="2"/>
        <v>32.730000000000004</v>
      </c>
      <c r="L6" s="3">
        <f t="shared" si="3"/>
        <v>15.320000000000004</v>
      </c>
      <c r="M6" s="3">
        <f t="shared" si="0"/>
        <v>-1.313999999999993</v>
      </c>
      <c r="N6" s="2">
        <f t="shared" si="4"/>
        <v>2.4862993378078673</v>
      </c>
      <c r="O6" s="21"/>
      <c r="P6" s="21"/>
      <c r="Q6" s="22"/>
    </row>
    <row r="7" spans="1:17" x14ac:dyDescent="0.35">
      <c r="A7" s="5">
        <v>6</v>
      </c>
      <c r="B7" s="5" t="s">
        <v>24</v>
      </c>
      <c r="C7" s="5" t="s">
        <v>25</v>
      </c>
      <c r="D7" s="5" t="s">
        <v>26</v>
      </c>
      <c r="E7" s="5" t="s">
        <v>27</v>
      </c>
      <c r="F7" s="6">
        <v>18.03</v>
      </c>
      <c r="G7" s="6">
        <v>16.78</v>
      </c>
      <c r="H7" s="6">
        <f t="shared" si="1"/>
        <v>17.405000000000001</v>
      </c>
      <c r="I7" s="6">
        <v>34.049999999999997</v>
      </c>
      <c r="J7" s="6">
        <v>35.049999999999997</v>
      </c>
      <c r="K7" s="6">
        <f t="shared" si="2"/>
        <v>34.549999999999997</v>
      </c>
      <c r="L7" s="6">
        <f t="shared" si="3"/>
        <v>17.144999999999996</v>
      </c>
      <c r="M7" s="6">
        <f t="shared" si="0"/>
        <v>0.51099999999999923</v>
      </c>
      <c r="N7" s="5">
        <f t="shared" si="4"/>
        <v>0.70173586301953805</v>
      </c>
      <c r="O7" s="23">
        <f t="shared" ref="O7:O22" si="5">AVERAGE(K7:K11)-AVERAGE(H7:H11)</f>
        <v>16.437999999999995</v>
      </c>
      <c r="P7" s="23">
        <f t="shared" ref="P7:P22" si="6">O7-$O$22</f>
        <v>-0.19600000000000151</v>
      </c>
      <c r="Q7" s="24">
        <f t="shared" ref="Q7:Q22" si="7">2^(-P7)</f>
        <v>1.1455178979797582</v>
      </c>
    </row>
    <row r="8" spans="1:17" x14ac:dyDescent="0.35">
      <c r="A8" s="5">
        <v>7</v>
      </c>
      <c r="B8" s="5" t="s">
        <v>28</v>
      </c>
      <c r="C8" s="5" t="s">
        <v>29</v>
      </c>
      <c r="D8" s="5" t="s">
        <v>26</v>
      </c>
      <c r="E8" s="5" t="s">
        <v>27</v>
      </c>
      <c r="F8" s="6">
        <v>19.96</v>
      </c>
      <c r="G8" s="6">
        <v>19.899999999999999</v>
      </c>
      <c r="H8" s="6">
        <f t="shared" si="1"/>
        <v>19.93</v>
      </c>
      <c r="I8" s="6">
        <v>30.7</v>
      </c>
      <c r="J8" s="6">
        <v>32.03</v>
      </c>
      <c r="K8" s="6">
        <f t="shared" si="2"/>
        <v>31.365000000000002</v>
      </c>
      <c r="L8" s="6">
        <f t="shared" si="3"/>
        <v>11.435000000000002</v>
      </c>
      <c r="M8" s="6">
        <f t="shared" si="0"/>
        <v>-5.1989999999999945</v>
      </c>
      <c r="N8" s="5">
        <f t="shared" si="4"/>
        <v>36.732877243359923</v>
      </c>
      <c r="O8" s="23"/>
      <c r="P8" s="23"/>
      <c r="Q8" s="24"/>
    </row>
    <row r="9" spans="1:17" x14ac:dyDescent="0.35">
      <c r="A9" s="5">
        <v>8</v>
      </c>
      <c r="B9" s="5" t="s">
        <v>30</v>
      </c>
      <c r="C9" s="5" t="s">
        <v>31</v>
      </c>
      <c r="D9" s="5" t="s">
        <v>26</v>
      </c>
      <c r="E9" s="5" t="s">
        <v>27</v>
      </c>
      <c r="F9" s="6">
        <v>16.23</v>
      </c>
      <c r="G9" s="6">
        <v>16.84</v>
      </c>
      <c r="H9" s="6">
        <f t="shared" si="1"/>
        <v>16.535</v>
      </c>
      <c r="I9" s="6">
        <v>36</v>
      </c>
      <c r="J9" s="6">
        <v>34.68</v>
      </c>
      <c r="K9" s="6">
        <f t="shared" si="2"/>
        <v>35.340000000000003</v>
      </c>
      <c r="L9" s="6">
        <f t="shared" si="3"/>
        <v>18.805000000000003</v>
      </c>
      <c r="M9" s="6">
        <f t="shared" si="0"/>
        <v>2.1710000000000065</v>
      </c>
      <c r="N9" s="5">
        <f t="shared" si="4"/>
        <v>0.22205669896060026</v>
      </c>
      <c r="O9" s="23"/>
      <c r="P9" s="23"/>
      <c r="Q9" s="24"/>
    </row>
    <row r="10" spans="1:17" x14ac:dyDescent="0.35">
      <c r="A10" s="5">
        <v>9</v>
      </c>
      <c r="B10" s="5" t="s">
        <v>32</v>
      </c>
      <c r="C10" s="5" t="s">
        <v>33</v>
      </c>
      <c r="D10" s="5" t="s">
        <v>26</v>
      </c>
      <c r="E10" s="5" t="s">
        <v>27</v>
      </c>
      <c r="F10" s="6">
        <v>16.82</v>
      </c>
      <c r="G10" s="6">
        <v>16.82</v>
      </c>
      <c r="H10" s="6">
        <f t="shared" si="1"/>
        <v>16.82</v>
      </c>
      <c r="I10" s="6">
        <v>34.89</v>
      </c>
      <c r="J10" s="6">
        <v>36.31</v>
      </c>
      <c r="K10" s="6">
        <f t="shared" si="2"/>
        <v>35.6</v>
      </c>
      <c r="L10" s="6">
        <f t="shared" si="3"/>
        <v>18.78</v>
      </c>
      <c r="M10" s="6">
        <f t="shared" si="0"/>
        <v>2.1460000000000043</v>
      </c>
      <c r="N10" s="5">
        <f t="shared" si="4"/>
        <v>0.22593818168777077</v>
      </c>
      <c r="O10" s="23"/>
      <c r="P10" s="23"/>
      <c r="Q10" s="24"/>
    </row>
    <row r="11" spans="1:17" x14ac:dyDescent="0.35">
      <c r="A11" s="5">
        <v>10</v>
      </c>
      <c r="B11" s="5" t="s">
        <v>34</v>
      </c>
      <c r="C11" s="5" t="s">
        <v>35</v>
      </c>
      <c r="D11" s="5" t="s">
        <v>26</v>
      </c>
      <c r="E11" s="5" t="s">
        <v>36</v>
      </c>
      <c r="F11" s="6">
        <v>18.399999999999999</v>
      </c>
      <c r="G11" s="6">
        <v>18.36</v>
      </c>
      <c r="H11" s="6">
        <f t="shared" si="1"/>
        <v>18.38</v>
      </c>
      <c r="I11" s="6">
        <v>34.380000000000003</v>
      </c>
      <c r="J11" s="6">
        <v>34.43</v>
      </c>
      <c r="K11" s="6">
        <f t="shared" si="2"/>
        <v>34.405000000000001</v>
      </c>
      <c r="L11" s="6">
        <f t="shared" si="3"/>
        <v>16.025000000000002</v>
      </c>
      <c r="M11" s="6">
        <f t="shared" si="0"/>
        <v>-0.60899999999999466</v>
      </c>
      <c r="N11" s="5">
        <f t="shared" si="4"/>
        <v>1.5252016532562784</v>
      </c>
      <c r="O11" s="23"/>
      <c r="P11" s="23"/>
      <c r="Q11" s="24"/>
    </row>
    <row r="12" spans="1:17" x14ac:dyDescent="0.35">
      <c r="A12" s="2">
        <v>11</v>
      </c>
      <c r="B12" s="2" t="s">
        <v>37</v>
      </c>
      <c r="C12" s="2" t="s">
        <v>38</v>
      </c>
      <c r="D12" s="2" t="s">
        <v>39</v>
      </c>
      <c r="E12" s="2" t="s">
        <v>40</v>
      </c>
      <c r="F12" s="3">
        <v>16.27</v>
      </c>
      <c r="G12" s="3">
        <v>16.829999999999998</v>
      </c>
      <c r="H12" s="3">
        <f t="shared" si="1"/>
        <v>16.549999999999997</v>
      </c>
      <c r="I12" s="3">
        <v>32.43</v>
      </c>
      <c r="J12" s="3">
        <v>33.25</v>
      </c>
      <c r="K12" s="3">
        <f t="shared" si="2"/>
        <v>32.840000000000003</v>
      </c>
      <c r="L12" s="3">
        <f t="shared" si="3"/>
        <v>16.290000000000006</v>
      </c>
      <c r="M12" s="3">
        <f t="shared" si="0"/>
        <v>-0.34399999999999054</v>
      </c>
      <c r="N12" s="2">
        <f t="shared" si="4"/>
        <v>1.2692708860197965</v>
      </c>
      <c r="O12" s="21">
        <f t="shared" si="5"/>
        <v>16.573</v>
      </c>
      <c r="P12" s="21">
        <f t="shared" si="6"/>
        <v>-6.099999999999639E-2</v>
      </c>
      <c r="Q12" s="22">
        <f t="shared" si="7"/>
        <v>1.0431885935298555</v>
      </c>
    </row>
    <row r="13" spans="1:17" x14ac:dyDescent="0.35">
      <c r="A13" s="2">
        <v>12</v>
      </c>
      <c r="B13" s="2" t="s">
        <v>41</v>
      </c>
      <c r="C13" s="2" t="s">
        <v>42</v>
      </c>
      <c r="D13" s="2" t="s">
        <v>39</v>
      </c>
      <c r="E13" s="2" t="s">
        <v>43</v>
      </c>
      <c r="F13" s="3">
        <v>16.829999999999998</v>
      </c>
      <c r="G13" s="3">
        <v>17.23</v>
      </c>
      <c r="H13" s="3">
        <f t="shared" si="1"/>
        <v>17.03</v>
      </c>
      <c r="I13" s="3">
        <v>36.03</v>
      </c>
      <c r="J13" s="3">
        <v>34.35</v>
      </c>
      <c r="K13" s="3">
        <f t="shared" si="2"/>
        <v>35.19</v>
      </c>
      <c r="L13" s="3">
        <f t="shared" si="3"/>
        <v>18.159999999999997</v>
      </c>
      <c r="M13" s="3">
        <f t="shared" si="0"/>
        <v>1.5259999999999998</v>
      </c>
      <c r="N13" s="2">
        <f t="shared" si="4"/>
        <v>0.34723878394127772</v>
      </c>
      <c r="O13" s="21"/>
      <c r="P13" s="21"/>
      <c r="Q13" s="22"/>
    </row>
    <row r="14" spans="1:17" x14ac:dyDescent="0.35">
      <c r="A14" s="2">
        <v>13</v>
      </c>
      <c r="B14" s="2" t="s">
        <v>44</v>
      </c>
      <c r="C14" s="2" t="s">
        <v>45</v>
      </c>
      <c r="D14" s="2" t="s">
        <v>39</v>
      </c>
      <c r="E14" s="2" t="s">
        <v>46</v>
      </c>
      <c r="F14" s="3">
        <v>18.649999999999999</v>
      </c>
      <c r="G14" s="3">
        <v>18.8</v>
      </c>
      <c r="H14" s="3">
        <f t="shared" si="1"/>
        <v>18.725000000000001</v>
      </c>
      <c r="I14" s="3">
        <v>37.86</v>
      </c>
      <c r="J14" s="3">
        <v>36.659999999999997</v>
      </c>
      <c r="K14" s="3">
        <f t="shared" si="2"/>
        <v>37.26</v>
      </c>
      <c r="L14" s="3">
        <f t="shared" si="3"/>
        <v>18.534999999999997</v>
      </c>
      <c r="M14" s="3">
        <f t="shared" si="0"/>
        <v>1.9009999999999998</v>
      </c>
      <c r="N14" s="2">
        <f t="shared" si="4"/>
        <v>0.26775770579786379</v>
      </c>
      <c r="O14" s="21"/>
      <c r="P14" s="21"/>
      <c r="Q14" s="22"/>
    </row>
    <row r="15" spans="1:17" x14ac:dyDescent="0.35">
      <c r="A15" s="2">
        <v>14</v>
      </c>
      <c r="B15" s="2" t="s">
        <v>47</v>
      </c>
      <c r="C15" s="2" t="s">
        <v>48</v>
      </c>
      <c r="D15" s="2" t="s">
        <v>39</v>
      </c>
      <c r="E15" s="2" t="s">
        <v>49</v>
      </c>
      <c r="F15" s="3">
        <v>18</v>
      </c>
      <c r="G15" s="3">
        <v>18.399999999999999</v>
      </c>
      <c r="H15" s="3">
        <f t="shared" si="1"/>
        <v>18.2</v>
      </c>
      <c r="I15" s="3">
        <v>33.97</v>
      </c>
      <c r="J15" s="3">
        <v>35.020000000000003</v>
      </c>
      <c r="K15" s="3">
        <f t="shared" si="2"/>
        <v>34.495000000000005</v>
      </c>
      <c r="L15" s="3">
        <f t="shared" si="3"/>
        <v>16.295000000000005</v>
      </c>
      <c r="M15" s="3">
        <f t="shared" si="0"/>
        <v>-0.33899999999999153</v>
      </c>
      <c r="N15" s="2">
        <f t="shared" si="4"/>
        <v>1.2648795423539296</v>
      </c>
      <c r="O15" s="21"/>
      <c r="P15" s="21"/>
      <c r="Q15" s="22"/>
    </row>
    <row r="16" spans="1:17" x14ac:dyDescent="0.35">
      <c r="A16" s="2">
        <v>15</v>
      </c>
      <c r="B16" s="2" t="s">
        <v>50</v>
      </c>
      <c r="C16" s="2" t="s">
        <v>51</v>
      </c>
      <c r="D16" s="2" t="s">
        <v>39</v>
      </c>
      <c r="E16" s="2" t="s">
        <v>52</v>
      </c>
      <c r="F16" s="4">
        <v>20.010000000000002</v>
      </c>
      <c r="G16" s="4">
        <v>20.3</v>
      </c>
      <c r="H16" s="3">
        <f t="shared" si="1"/>
        <v>20.155000000000001</v>
      </c>
      <c r="I16" s="4">
        <v>33.39</v>
      </c>
      <c r="J16" s="3">
        <v>34.090000000000003</v>
      </c>
      <c r="K16" s="3">
        <f t="shared" si="2"/>
        <v>33.74</v>
      </c>
      <c r="L16" s="3">
        <f t="shared" si="3"/>
        <v>13.585000000000001</v>
      </c>
      <c r="M16" s="3">
        <f t="shared" si="0"/>
        <v>-3.0489999999999959</v>
      </c>
      <c r="N16" s="2">
        <f t="shared" si="4"/>
        <v>8.2763806521512517</v>
      </c>
      <c r="O16" s="21"/>
      <c r="P16" s="21"/>
      <c r="Q16" s="22"/>
    </row>
    <row r="17" spans="1:17" x14ac:dyDescent="0.35">
      <c r="A17" s="5">
        <v>16</v>
      </c>
      <c r="B17" s="5" t="s">
        <v>53</v>
      </c>
      <c r="C17" s="5" t="s">
        <v>54</v>
      </c>
      <c r="D17" s="5" t="s">
        <v>55</v>
      </c>
      <c r="E17" s="7">
        <v>30</v>
      </c>
      <c r="F17" s="6">
        <v>19.329999999999998</v>
      </c>
      <c r="G17" s="6">
        <v>20.07</v>
      </c>
      <c r="H17" s="6">
        <f t="shared" si="1"/>
        <v>19.7</v>
      </c>
      <c r="I17" s="6">
        <v>38.299999999999997</v>
      </c>
      <c r="J17" s="6">
        <v>36.270000000000003</v>
      </c>
      <c r="K17" s="6">
        <f t="shared" si="2"/>
        <v>37.284999999999997</v>
      </c>
      <c r="L17" s="6">
        <f t="shared" si="3"/>
        <v>17.584999999999997</v>
      </c>
      <c r="M17" s="6">
        <f t="shared" si="0"/>
        <v>0.95100000000000051</v>
      </c>
      <c r="N17" s="5">
        <f t="shared" si="4"/>
        <v>0.51727379075945434</v>
      </c>
      <c r="O17" s="23">
        <f t="shared" si="5"/>
        <v>16.149000000000004</v>
      </c>
      <c r="P17" s="23">
        <f t="shared" si="6"/>
        <v>-0.48499999999999233</v>
      </c>
      <c r="Q17" s="24">
        <f t="shared" si="7"/>
        <v>1.3995858655951885</v>
      </c>
    </row>
    <row r="18" spans="1:17" x14ac:dyDescent="0.35">
      <c r="A18" s="5">
        <v>17</v>
      </c>
      <c r="B18" s="5" t="s">
        <v>56</v>
      </c>
      <c r="C18" s="5" t="s">
        <v>57</v>
      </c>
      <c r="D18" s="5" t="s">
        <v>55</v>
      </c>
      <c r="E18" s="7">
        <v>33</v>
      </c>
      <c r="F18" s="6">
        <v>16.170000000000002</v>
      </c>
      <c r="G18" s="6">
        <v>16.829999999999998</v>
      </c>
      <c r="H18" s="6">
        <f t="shared" si="1"/>
        <v>16.5</v>
      </c>
      <c r="I18" s="6">
        <v>30.2</v>
      </c>
      <c r="J18" s="6">
        <v>31.17</v>
      </c>
      <c r="K18" s="6">
        <f t="shared" si="2"/>
        <v>30.685000000000002</v>
      </c>
      <c r="L18" s="6">
        <f t="shared" si="3"/>
        <v>14.185000000000002</v>
      </c>
      <c r="M18" s="6">
        <f t="shared" si="0"/>
        <v>-2.4489999999999945</v>
      </c>
      <c r="N18" s="5">
        <f t="shared" si="4"/>
        <v>5.4603748715406448</v>
      </c>
      <c r="O18" s="23"/>
      <c r="P18" s="23"/>
      <c r="Q18" s="24"/>
    </row>
    <row r="19" spans="1:17" x14ac:dyDescent="0.35">
      <c r="A19" s="5">
        <v>18</v>
      </c>
      <c r="B19" s="5" t="s">
        <v>58</v>
      </c>
      <c r="C19" s="5" t="s">
        <v>59</v>
      </c>
      <c r="D19" s="5" t="s">
        <v>55</v>
      </c>
      <c r="E19" s="7">
        <v>34</v>
      </c>
      <c r="F19" s="6">
        <v>17.16</v>
      </c>
      <c r="G19" s="6">
        <v>17.28</v>
      </c>
      <c r="H19" s="6">
        <f t="shared" si="1"/>
        <v>17.22</v>
      </c>
      <c r="I19" s="6">
        <v>34.01</v>
      </c>
      <c r="J19" s="6">
        <v>34.11</v>
      </c>
      <c r="K19" s="6">
        <f t="shared" si="2"/>
        <v>34.06</v>
      </c>
      <c r="L19" s="6">
        <f t="shared" si="3"/>
        <v>16.840000000000003</v>
      </c>
      <c r="M19" s="6">
        <f t="shared" si="0"/>
        <v>0.20600000000000662</v>
      </c>
      <c r="N19" s="5">
        <f t="shared" si="4"/>
        <v>0.86693756351468265</v>
      </c>
      <c r="O19" s="23"/>
      <c r="P19" s="23"/>
      <c r="Q19" s="24"/>
    </row>
    <row r="20" spans="1:17" x14ac:dyDescent="0.35">
      <c r="A20" s="5">
        <v>19</v>
      </c>
      <c r="B20" s="5" t="s">
        <v>60</v>
      </c>
      <c r="C20" s="5" t="s">
        <v>61</v>
      </c>
      <c r="D20" s="5" t="s">
        <v>55</v>
      </c>
      <c r="E20" s="7">
        <v>36</v>
      </c>
      <c r="F20" s="6">
        <v>16.32</v>
      </c>
      <c r="G20" s="6">
        <v>17</v>
      </c>
      <c r="H20" s="6">
        <f t="shared" si="1"/>
        <v>16.66</v>
      </c>
      <c r="I20" s="6">
        <v>30.2</v>
      </c>
      <c r="J20" s="6">
        <v>31.03</v>
      </c>
      <c r="K20" s="6">
        <f t="shared" si="2"/>
        <v>30.615000000000002</v>
      </c>
      <c r="L20" s="6">
        <f t="shared" si="3"/>
        <v>13.955000000000002</v>
      </c>
      <c r="M20" s="6">
        <f t="shared" si="0"/>
        <v>-2.6789999999999949</v>
      </c>
      <c r="N20" s="5">
        <f t="shared" si="4"/>
        <v>6.4041184852504012</v>
      </c>
      <c r="O20" s="23"/>
      <c r="P20" s="23"/>
      <c r="Q20" s="24"/>
    </row>
    <row r="21" spans="1:17" x14ac:dyDescent="0.35">
      <c r="A21" s="5">
        <v>20</v>
      </c>
      <c r="B21" s="5" t="s">
        <v>62</v>
      </c>
      <c r="C21" s="5" t="s">
        <v>63</v>
      </c>
      <c r="D21" s="5" t="s">
        <v>55</v>
      </c>
      <c r="E21" s="7">
        <v>39</v>
      </c>
      <c r="F21" s="6">
        <v>17.010000000000002</v>
      </c>
      <c r="G21" s="6">
        <v>17.39</v>
      </c>
      <c r="H21" s="6">
        <f t="shared" si="1"/>
        <v>17.200000000000003</v>
      </c>
      <c r="I21" s="6">
        <v>35.369999999999997</v>
      </c>
      <c r="J21" s="6">
        <v>35.39</v>
      </c>
      <c r="K21" s="6">
        <f t="shared" si="2"/>
        <v>35.379999999999995</v>
      </c>
      <c r="L21" s="6">
        <f t="shared" si="3"/>
        <v>18.179999999999993</v>
      </c>
      <c r="M21" s="6">
        <f t="shared" si="0"/>
        <v>1.5459999999999958</v>
      </c>
      <c r="N21" s="5">
        <f t="shared" si="4"/>
        <v>0.34245824499139249</v>
      </c>
      <c r="O21" s="23"/>
      <c r="P21" s="23"/>
      <c r="Q21" s="24"/>
    </row>
    <row r="22" spans="1:17" x14ac:dyDescent="0.35">
      <c r="A22" s="2">
        <v>21</v>
      </c>
      <c r="B22" s="2" t="s">
        <v>64</v>
      </c>
      <c r="C22" s="2" t="s">
        <v>65</v>
      </c>
      <c r="D22" s="2" t="s">
        <v>66</v>
      </c>
      <c r="E22" s="2" t="s">
        <v>67</v>
      </c>
      <c r="F22" s="3">
        <v>17.760000000000002</v>
      </c>
      <c r="G22" s="3">
        <v>17.91</v>
      </c>
      <c r="H22" s="3">
        <f t="shared" si="1"/>
        <v>17.835000000000001</v>
      </c>
      <c r="I22" s="3">
        <v>34.42</v>
      </c>
      <c r="J22" s="3">
        <v>34.9</v>
      </c>
      <c r="K22" s="3">
        <f t="shared" si="2"/>
        <v>34.659999999999997</v>
      </c>
      <c r="L22" s="3">
        <f t="shared" si="3"/>
        <v>16.824999999999996</v>
      </c>
      <c r="M22" s="3">
        <f>L22-L22</f>
        <v>0</v>
      </c>
      <c r="N22" s="2">
        <f t="shared" si="4"/>
        <v>1</v>
      </c>
      <c r="O22" s="21">
        <f t="shared" si="5"/>
        <v>16.633999999999997</v>
      </c>
      <c r="P22" s="21">
        <f t="shared" si="6"/>
        <v>0</v>
      </c>
      <c r="Q22" s="22">
        <f t="shared" si="7"/>
        <v>1</v>
      </c>
    </row>
    <row r="23" spans="1:17" x14ac:dyDescent="0.35">
      <c r="A23" s="2">
        <v>22</v>
      </c>
      <c r="B23" s="2" t="s">
        <v>68</v>
      </c>
      <c r="C23" s="2" t="s">
        <v>69</v>
      </c>
      <c r="D23" s="2" t="s">
        <v>66</v>
      </c>
      <c r="E23" s="2" t="s">
        <v>70</v>
      </c>
      <c r="F23" s="3">
        <v>16.010000000000002</v>
      </c>
      <c r="G23" s="3">
        <v>16.36</v>
      </c>
      <c r="H23" s="3">
        <f t="shared" si="1"/>
        <v>16.185000000000002</v>
      </c>
      <c r="I23" s="3">
        <v>32.36</v>
      </c>
      <c r="J23" s="3">
        <v>33.11</v>
      </c>
      <c r="K23" s="3">
        <f t="shared" si="2"/>
        <v>32.734999999999999</v>
      </c>
      <c r="L23" s="3">
        <f t="shared" si="3"/>
        <v>16.549999999999997</v>
      </c>
      <c r="M23" s="3">
        <f t="shared" ref="M23:M26" si="8">L23-L23</f>
        <v>0</v>
      </c>
      <c r="N23" s="2">
        <f t="shared" si="4"/>
        <v>1</v>
      </c>
      <c r="O23" s="21"/>
      <c r="P23" s="21"/>
      <c r="Q23" s="22"/>
    </row>
    <row r="24" spans="1:17" x14ac:dyDescent="0.35">
      <c r="A24" s="2">
        <v>23</v>
      </c>
      <c r="B24" s="2" t="s">
        <v>71</v>
      </c>
      <c r="C24" s="2" t="s">
        <v>72</v>
      </c>
      <c r="D24" s="2" t="s">
        <v>66</v>
      </c>
      <c r="E24" s="2" t="s">
        <v>73</v>
      </c>
      <c r="F24" s="3">
        <v>16.899999999999999</v>
      </c>
      <c r="G24" s="3">
        <v>17.04</v>
      </c>
      <c r="H24" s="3">
        <f t="shared" si="1"/>
        <v>16.97</v>
      </c>
      <c r="I24" s="3">
        <v>31.37</v>
      </c>
      <c r="J24" s="3">
        <v>32.1</v>
      </c>
      <c r="K24" s="3">
        <f t="shared" si="2"/>
        <v>31.734999999999999</v>
      </c>
      <c r="L24" s="3">
        <f t="shared" si="3"/>
        <v>14.765000000000001</v>
      </c>
      <c r="M24" s="3">
        <f t="shared" si="8"/>
        <v>0</v>
      </c>
      <c r="N24" s="2">
        <f t="shared" si="4"/>
        <v>1</v>
      </c>
      <c r="O24" s="21"/>
      <c r="P24" s="21"/>
      <c r="Q24" s="22"/>
    </row>
    <row r="25" spans="1:17" x14ac:dyDescent="0.35">
      <c r="A25" s="2">
        <v>24</v>
      </c>
      <c r="B25" s="2" t="s">
        <v>74</v>
      </c>
      <c r="C25" s="2" t="s">
        <v>75</v>
      </c>
      <c r="D25" s="2" t="s">
        <v>66</v>
      </c>
      <c r="E25" s="2" t="s">
        <v>76</v>
      </c>
      <c r="F25" s="3">
        <v>17.66</v>
      </c>
      <c r="G25" s="3">
        <v>17.78</v>
      </c>
      <c r="H25" s="3">
        <f t="shared" si="1"/>
        <v>17.72</v>
      </c>
      <c r="I25" s="3">
        <v>34.72</v>
      </c>
      <c r="J25" s="3">
        <v>34.29</v>
      </c>
      <c r="K25" s="3">
        <f t="shared" si="2"/>
        <v>34.504999999999995</v>
      </c>
      <c r="L25" s="3">
        <f t="shared" si="3"/>
        <v>16.784999999999997</v>
      </c>
      <c r="M25" s="3">
        <f t="shared" si="8"/>
        <v>0</v>
      </c>
      <c r="N25" s="2">
        <f t="shared" si="4"/>
        <v>1</v>
      </c>
      <c r="O25" s="21"/>
      <c r="P25" s="21"/>
      <c r="Q25" s="22"/>
    </row>
    <row r="26" spans="1:17" x14ac:dyDescent="0.35">
      <c r="A26" s="2">
        <v>25</v>
      </c>
      <c r="B26" s="2" t="s">
        <v>77</v>
      </c>
      <c r="C26" s="2" t="s">
        <v>78</v>
      </c>
      <c r="D26" s="2" t="s">
        <v>66</v>
      </c>
      <c r="E26" s="2" t="s">
        <v>79</v>
      </c>
      <c r="F26" s="3">
        <v>17.21</v>
      </c>
      <c r="G26" s="3">
        <v>17.88</v>
      </c>
      <c r="H26" s="3">
        <f t="shared" si="1"/>
        <v>17.545000000000002</v>
      </c>
      <c r="I26" s="3">
        <v>34.909999999999997</v>
      </c>
      <c r="J26" s="3">
        <v>36.67</v>
      </c>
      <c r="K26" s="3">
        <f t="shared" si="2"/>
        <v>35.79</v>
      </c>
      <c r="L26" s="3">
        <f t="shared" si="3"/>
        <v>18.244999999999997</v>
      </c>
      <c r="M26" s="3">
        <f t="shared" si="8"/>
        <v>0</v>
      </c>
      <c r="N26" s="2">
        <f t="shared" si="4"/>
        <v>1</v>
      </c>
      <c r="O26" s="21"/>
      <c r="P26" s="21"/>
      <c r="Q26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CAAE8-0441-4B60-B1C7-C6F2D8949A4C}">
  <dimension ref="A1:Q26"/>
  <sheetViews>
    <sheetView topLeftCell="A12" workbookViewId="0">
      <selection activeCell="D7" sqref="D7"/>
    </sheetView>
  </sheetViews>
  <sheetFormatPr defaultRowHeight="14.5" x14ac:dyDescent="0.35"/>
  <cols>
    <col min="1" max="1" width="3.1796875" bestFit="1" customWidth="1"/>
    <col min="2" max="2" width="6.90625" bestFit="1" customWidth="1"/>
    <col min="3" max="3" width="9.90625" bestFit="1" customWidth="1"/>
    <col min="4" max="4" width="11" bestFit="1" customWidth="1"/>
    <col min="5" max="5" width="24.453125" bestFit="1" customWidth="1"/>
    <col min="6" max="6" width="9.453125" bestFit="1" customWidth="1"/>
    <col min="7" max="7" width="10" bestFit="1" customWidth="1"/>
    <col min="8" max="8" width="12.1796875" bestFit="1" customWidth="1"/>
    <col min="9" max="9" width="11.26953125" bestFit="1" customWidth="1"/>
    <col min="10" max="10" width="11.81640625" bestFit="1" customWidth="1"/>
    <col min="11" max="11" width="14.08984375" bestFit="1" customWidth="1"/>
    <col min="12" max="12" width="5.26953125" bestFit="1" customWidth="1"/>
    <col min="13" max="13" width="5" bestFit="1" customWidth="1"/>
    <col min="14" max="14" width="15.54296875" bestFit="1" customWidth="1"/>
    <col min="15" max="15" width="9.08984375" bestFit="1" customWidth="1"/>
    <col min="16" max="16" width="10.26953125" bestFit="1" customWidth="1"/>
    <col min="17" max="17" width="22" bestFit="1" customWidth="1"/>
  </cols>
  <sheetData>
    <row r="1" spans="1:17" x14ac:dyDescent="0.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80</v>
      </c>
      <c r="G1" s="1" t="s">
        <v>81</v>
      </c>
      <c r="H1" s="1" t="s">
        <v>82</v>
      </c>
      <c r="I1" s="1" t="s">
        <v>89</v>
      </c>
      <c r="J1" s="1" t="s">
        <v>90</v>
      </c>
      <c r="K1" s="1" t="s">
        <v>91</v>
      </c>
      <c r="L1" s="8" t="s">
        <v>5</v>
      </c>
      <c r="M1" s="8" t="s">
        <v>6</v>
      </c>
      <c r="N1" s="8" t="s">
        <v>7</v>
      </c>
      <c r="O1" s="8" t="s">
        <v>88</v>
      </c>
      <c r="P1" s="8" t="s">
        <v>87</v>
      </c>
      <c r="Q1" s="8" t="s">
        <v>86</v>
      </c>
    </row>
    <row r="2" spans="1:17" x14ac:dyDescent="0.3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3">
        <v>15.11</v>
      </c>
      <c r="G2" s="3">
        <v>15.07</v>
      </c>
      <c r="H2" s="3">
        <f>AVERAGE(F2:G2)</f>
        <v>15.09</v>
      </c>
      <c r="I2" s="3">
        <v>27.52</v>
      </c>
      <c r="J2" s="3">
        <v>29.06</v>
      </c>
      <c r="K2" s="3">
        <f>AVERAGE(I2:J2)</f>
        <v>28.29</v>
      </c>
      <c r="L2" s="3">
        <f>K2-H2</f>
        <v>13.2</v>
      </c>
      <c r="M2" s="3">
        <f t="shared" ref="M2:M16" si="0">L2-(AVERAGE($L$17:$L$21))</f>
        <v>-2.9489999999999981</v>
      </c>
      <c r="N2" s="2">
        <f>2^(-M2)</f>
        <v>7.7221361989740451</v>
      </c>
      <c r="O2" s="21">
        <f>AVERAGE(K2:K6)-AVERAGE(H2:H6)</f>
        <v>15.448000000000004</v>
      </c>
      <c r="P2" s="21">
        <f>O2-$O$17</f>
        <v>-0.70100000000000051</v>
      </c>
      <c r="Q2" s="22">
        <f>2^(-P2)</f>
        <v>1.6256312039686407</v>
      </c>
    </row>
    <row r="3" spans="1:17" x14ac:dyDescent="0.35">
      <c r="A3" s="2">
        <v>2</v>
      </c>
      <c r="B3" s="2" t="s">
        <v>12</v>
      </c>
      <c r="C3" s="2" t="s">
        <v>13</v>
      </c>
      <c r="D3" s="2" t="s">
        <v>10</v>
      </c>
      <c r="E3" s="2" t="s">
        <v>14</v>
      </c>
      <c r="F3" s="3">
        <v>18.82</v>
      </c>
      <c r="G3" s="3">
        <v>18.23</v>
      </c>
      <c r="H3" s="3">
        <f t="shared" ref="H3:H21" si="1">AVERAGE(F3:G3)</f>
        <v>18.524999999999999</v>
      </c>
      <c r="I3" s="3">
        <v>31.98</v>
      </c>
      <c r="J3" s="3">
        <v>32.299999999999997</v>
      </c>
      <c r="K3" s="3">
        <f t="shared" ref="K3:K21" si="2">AVERAGE(I3:J3)</f>
        <v>32.14</v>
      </c>
      <c r="L3" s="3">
        <f t="shared" ref="L3:L21" si="3">K3-H3</f>
        <v>13.615000000000002</v>
      </c>
      <c r="M3" s="3">
        <f t="shared" si="0"/>
        <v>-2.5339999999999954</v>
      </c>
      <c r="N3" s="2">
        <f t="shared" ref="N3:N21" si="4">2^(-M3)</f>
        <v>5.7917526895182165</v>
      </c>
      <c r="O3" s="21"/>
      <c r="P3" s="21"/>
      <c r="Q3" s="22"/>
    </row>
    <row r="4" spans="1:17" x14ac:dyDescent="0.35">
      <c r="A4" s="2">
        <v>3</v>
      </c>
      <c r="B4" s="2" t="s">
        <v>15</v>
      </c>
      <c r="C4" s="2" t="s">
        <v>16</v>
      </c>
      <c r="D4" s="2" t="s">
        <v>10</v>
      </c>
      <c r="E4" s="2" t="s">
        <v>17</v>
      </c>
      <c r="F4" s="3">
        <v>16.559999999999999</v>
      </c>
      <c r="G4" s="3">
        <v>17.75</v>
      </c>
      <c r="H4" s="3">
        <f t="shared" si="1"/>
        <v>17.155000000000001</v>
      </c>
      <c r="I4" s="3">
        <v>34.29</v>
      </c>
      <c r="J4" s="3">
        <v>36.6</v>
      </c>
      <c r="K4" s="3">
        <f t="shared" si="2"/>
        <v>35.445</v>
      </c>
      <c r="L4" s="3">
        <f t="shared" si="3"/>
        <v>18.29</v>
      </c>
      <c r="M4" s="3">
        <f t="shared" si="0"/>
        <v>2.1410000000000018</v>
      </c>
      <c r="N4" s="2">
        <f t="shared" si="4"/>
        <v>0.22672258223328548</v>
      </c>
      <c r="O4" s="21"/>
      <c r="P4" s="21"/>
      <c r="Q4" s="22"/>
    </row>
    <row r="5" spans="1:17" x14ac:dyDescent="0.35">
      <c r="A5" s="2">
        <v>4</v>
      </c>
      <c r="B5" s="2" t="s">
        <v>18</v>
      </c>
      <c r="C5" s="2" t="s">
        <v>19</v>
      </c>
      <c r="D5" s="2" t="s">
        <v>10</v>
      </c>
      <c r="E5" s="2" t="s">
        <v>20</v>
      </c>
      <c r="F5" s="3">
        <v>16.13</v>
      </c>
      <c r="G5" s="3">
        <v>15.98</v>
      </c>
      <c r="H5" s="3">
        <f t="shared" si="1"/>
        <v>16.055</v>
      </c>
      <c r="I5" s="3">
        <v>32.4</v>
      </c>
      <c r="J5" s="3">
        <v>33.340000000000003</v>
      </c>
      <c r="K5" s="3">
        <f t="shared" si="2"/>
        <v>32.870000000000005</v>
      </c>
      <c r="L5" s="3">
        <f t="shared" si="3"/>
        <v>16.815000000000005</v>
      </c>
      <c r="M5" s="3">
        <f t="shared" si="0"/>
        <v>0.66600000000000747</v>
      </c>
      <c r="N5" s="2">
        <f t="shared" si="4"/>
        <v>0.63025169579148954</v>
      </c>
      <c r="O5" s="21"/>
      <c r="P5" s="21"/>
      <c r="Q5" s="22"/>
    </row>
    <row r="6" spans="1:17" x14ac:dyDescent="0.35">
      <c r="A6" s="2">
        <v>5</v>
      </c>
      <c r="B6" s="2" t="s">
        <v>21</v>
      </c>
      <c r="C6" s="2" t="s">
        <v>22</v>
      </c>
      <c r="D6" s="2" t="s">
        <v>10</v>
      </c>
      <c r="E6" s="2" t="s">
        <v>23</v>
      </c>
      <c r="F6" s="4">
        <v>17.100000000000001</v>
      </c>
      <c r="G6" s="4">
        <v>17.72</v>
      </c>
      <c r="H6" s="3">
        <f t="shared" si="1"/>
        <v>17.41</v>
      </c>
      <c r="I6" s="4">
        <v>32.65</v>
      </c>
      <c r="J6" s="3">
        <v>32.81</v>
      </c>
      <c r="K6" s="3">
        <f t="shared" si="2"/>
        <v>32.730000000000004</v>
      </c>
      <c r="L6" s="3">
        <f t="shared" si="3"/>
        <v>15.320000000000004</v>
      </c>
      <c r="M6" s="3">
        <f t="shared" si="0"/>
        <v>-0.82899999999999352</v>
      </c>
      <c r="N6" s="2">
        <f t="shared" si="4"/>
        <v>1.7764535916848017</v>
      </c>
      <c r="O6" s="21"/>
      <c r="P6" s="21"/>
      <c r="Q6" s="22"/>
    </row>
    <row r="7" spans="1:17" x14ac:dyDescent="0.35">
      <c r="A7" s="5">
        <v>6</v>
      </c>
      <c r="B7" s="5" t="s">
        <v>24</v>
      </c>
      <c r="C7" s="5" t="s">
        <v>25</v>
      </c>
      <c r="D7" s="5" t="s">
        <v>26</v>
      </c>
      <c r="E7" s="5" t="s">
        <v>27</v>
      </c>
      <c r="F7" s="6">
        <v>18.03</v>
      </c>
      <c r="G7" s="6">
        <v>16.78</v>
      </c>
      <c r="H7" s="6">
        <f t="shared" si="1"/>
        <v>17.405000000000001</v>
      </c>
      <c r="I7" s="6">
        <v>34.049999999999997</v>
      </c>
      <c r="J7" s="6">
        <v>35.049999999999997</v>
      </c>
      <c r="K7" s="6">
        <f t="shared" si="2"/>
        <v>34.549999999999997</v>
      </c>
      <c r="L7" s="6">
        <f t="shared" si="3"/>
        <v>17.144999999999996</v>
      </c>
      <c r="M7" s="6">
        <f t="shared" si="0"/>
        <v>0.99599999999999866</v>
      </c>
      <c r="N7" s="5">
        <f t="shared" si="4"/>
        <v>0.50138821795053934</v>
      </c>
      <c r="O7" s="23">
        <f t="shared" ref="O7:O17" si="5">AVERAGE(K7:K11)-AVERAGE(H7:H11)</f>
        <v>16.437999999999995</v>
      </c>
      <c r="P7" s="23">
        <f>O7-$O$17</f>
        <v>0.28899999999999082</v>
      </c>
      <c r="Q7" s="24">
        <f t="shared" ref="Q7:Q17" si="6">2^(-P7)</f>
        <v>0.81846918159080917</v>
      </c>
    </row>
    <row r="8" spans="1:17" x14ac:dyDescent="0.35">
      <c r="A8" s="5">
        <v>7</v>
      </c>
      <c r="B8" s="5" t="s">
        <v>28</v>
      </c>
      <c r="C8" s="5" t="s">
        <v>29</v>
      </c>
      <c r="D8" s="5" t="s">
        <v>26</v>
      </c>
      <c r="E8" s="5" t="s">
        <v>27</v>
      </c>
      <c r="F8" s="6">
        <v>19.96</v>
      </c>
      <c r="G8" s="6">
        <v>19.899999999999999</v>
      </c>
      <c r="H8" s="6">
        <f t="shared" si="1"/>
        <v>19.93</v>
      </c>
      <c r="I8" s="6">
        <v>30.7</v>
      </c>
      <c r="J8" s="6">
        <v>32.03</v>
      </c>
      <c r="K8" s="6">
        <f t="shared" si="2"/>
        <v>31.365000000000002</v>
      </c>
      <c r="L8" s="6">
        <f t="shared" si="3"/>
        <v>11.435000000000002</v>
      </c>
      <c r="M8" s="6">
        <f t="shared" si="0"/>
        <v>-4.7139999999999951</v>
      </c>
      <c r="N8" s="5">
        <f t="shared" si="4"/>
        <v>26.245533158295149</v>
      </c>
      <c r="O8" s="23"/>
      <c r="P8" s="23"/>
      <c r="Q8" s="24"/>
    </row>
    <row r="9" spans="1:17" x14ac:dyDescent="0.35">
      <c r="A9" s="5">
        <v>8</v>
      </c>
      <c r="B9" s="5" t="s">
        <v>30</v>
      </c>
      <c r="C9" s="5" t="s">
        <v>31</v>
      </c>
      <c r="D9" s="5" t="s">
        <v>26</v>
      </c>
      <c r="E9" s="5" t="s">
        <v>27</v>
      </c>
      <c r="F9" s="6">
        <v>16.23</v>
      </c>
      <c r="G9" s="6">
        <v>16.84</v>
      </c>
      <c r="H9" s="6">
        <f t="shared" si="1"/>
        <v>16.535</v>
      </c>
      <c r="I9" s="6">
        <v>36</v>
      </c>
      <c r="J9" s="6">
        <v>34.68</v>
      </c>
      <c r="K9" s="6">
        <f t="shared" si="2"/>
        <v>35.340000000000003</v>
      </c>
      <c r="L9" s="6">
        <f t="shared" si="3"/>
        <v>18.805000000000003</v>
      </c>
      <c r="M9" s="6">
        <f t="shared" si="0"/>
        <v>2.6560000000000059</v>
      </c>
      <c r="N9" s="5">
        <f t="shared" si="4"/>
        <v>0.15865886075247496</v>
      </c>
      <c r="O9" s="23"/>
      <c r="P9" s="23"/>
      <c r="Q9" s="24"/>
    </row>
    <row r="10" spans="1:17" x14ac:dyDescent="0.35">
      <c r="A10" s="5">
        <v>9</v>
      </c>
      <c r="B10" s="5" t="s">
        <v>32</v>
      </c>
      <c r="C10" s="5" t="s">
        <v>33</v>
      </c>
      <c r="D10" s="5" t="s">
        <v>26</v>
      </c>
      <c r="E10" s="5" t="s">
        <v>27</v>
      </c>
      <c r="F10" s="6">
        <v>16.82</v>
      </c>
      <c r="G10" s="6">
        <v>16.82</v>
      </c>
      <c r="H10" s="6">
        <f t="shared" si="1"/>
        <v>16.82</v>
      </c>
      <c r="I10" s="6">
        <v>34.89</v>
      </c>
      <c r="J10" s="6">
        <v>36.31</v>
      </c>
      <c r="K10" s="6">
        <f t="shared" si="2"/>
        <v>35.6</v>
      </c>
      <c r="L10" s="6">
        <f t="shared" si="3"/>
        <v>18.78</v>
      </c>
      <c r="M10" s="6">
        <f t="shared" si="0"/>
        <v>2.6310000000000038</v>
      </c>
      <c r="N10" s="5">
        <f t="shared" si="4"/>
        <v>0.16143216878779146</v>
      </c>
      <c r="O10" s="23"/>
      <c r="P10" s="23"/>
      <c r="Q10" s="24"/>
    </row>
    <row r="11" spans="1:17" x14ac:dyDescent="0.35">
      <c r="A11" s="5">
        <v>10</v>
      </c>
      <c r="B11" s="5" t="s">
        <v>34</v>
      </c>
      <c r="C11" s="5" t="s">
        <v>35</v>
      </c>
      <c r="D11" s="5" t="s">
        <v>26</v>
      </c>
      <c r="E11" s="5" t="s">
        <v>36</v>
      </c>
      <c r="F11" s="6">
        <v>18.399999999999999</v>
      </c>
      <c r="G11" s="6">
        <v>18.36</v>
      </c>
      <c r="H11" s="6">
        <f t="shared" si="1"/>
        <v>18.38</v>
      </c>
      <c r="I11" s="6">
        <v>34.380000000000003</v>
      </c>
      <c r="J11" s="6">
        <v>34.43</v>
      </c>
      <c r="K11" s="6">
        <f t="shared" si="2"/>
        <v>34.405000000000001</v>
      </c>
      <c r="L11" s="6">
        <f t="shared" si="3"/>
        <v>16.025000000000002</v>
      </c>
      <c r="M11" s="6">
        <f t="shared" si="0"/>
        <v>-0.12399999999999523</v>
      </c>
      <c r="N11" s="5">
        <f t="shared" si="4"/>
        <v>1.0897521122133245</v>
      </c>
      <c r="O11" s="23"/>
      <c r="P11" s="23"/>
      <c r="Q11" s="24"/>
    </row>
    <row r="12" spans="1:17" x14ac:dyDescent="0.35">
      <c r="A12" s="2">
        <v>11</v>
      </c>
      <c r="B12" s="2" t="s">
        <v>37</v>
      </c>
      <c r="C12" s="2" t="s">
        <v>38</v>
      </c>
      <c r="D12" s="2" t="s">
        <v>39</v>
      </c>
      <c r="E12" s="2" t="s">
        <v>40</v>
      </c>
      <c r="F12" s="3">
        <v>16.27</v>
      </c>
      <c r="G12" s="3">
        <v>16.829999999999998</v>
      </c>
      <c r="H12" s="3">
        <f t="shared" si="1"/>
        <v>16.549999999999997</v>
      </c>
      <c r="I12" s="3">
        <v>32.43</v>
      </c>
      <c r="J12" s="3">
        <v>33.25</v>
      </c>
      <c r="K12" s="3">
        <f t="shared" si="2"/>
        <v>32.840000000000003</v>
      </c>
      <c r="L12" s="3">
        <f t="shared" si="3"/>
        <v>16.290000000000006</v>
      </c>
      <c r="M12" s="3">
        <f t="shared" si="0"/>
        <v>0.1410000000000089</v>
      </c>
      <c r="N12" s="2">
        <f t="shared" si="4"/>
        <v>0.90689032893313737</v>
      </c>
      <c r="O12" s="21">
        <f t="shared" si="5"/>
        <v>16.573</v>
      </c>
      <c r="P12" s="21">
        <f>O12-$O$17</f>
        <v>0.42399999999999594</v>
      </c>
      <c r="Q12" s="22">
        <f t="shared" si="6"/>
        <v>0.74535519339946232</v>
      </c>
    </row>
    <row r="13" spans="1:17" x14ac:dyDescent="0.35">
      <c r="A13" s="2">
        <v>12</v>
      </c>
      <c r="B13" s="2" t="s">
        <v>41</v>
      </c>
      <c r="C13" s="2" t="s">
        <v>42</v>
      </c>
      <c r="D13" s="2" t="s">
        <v>39</v>
      </c>
      <c r="E13" s="2" t="s">
        <v>43</v>
      </c>
      <c r="F13" s="3">
        <v>16.829999999999998</v>
      </c>
      <c r="G13" s="3">
        <v>17.23</v>
      </c>
      <c r="H13" s="3">
        <f t="shared" si="1"/>
        <v>17.03</v>
      </c>
      <c r="I13" s="3">
        <v>36.03</v>
      </c>
      <c r="J13" s="3">
        <v>34.35</v>
      </c>
      <c r="K13" s="3">
        <f t="shared" si="2"/>
        <v>35.19</v>
      </c>
      <c r="L13" s="3">
        <f t="shared" si="3"/>
        <v>18.159999999999997</v>
      </c>
      <c r="M13" s="3">
        <f t="shared" si="0"/>
        <v>2.0109999999999992</v>
      </c>
      <c r="N13" s="2">
        <f t="shared" si="4"/>
        <v>0.24810109367145478</v>
      </c>
      <c r="O13" s="21"/>
      <c r="P13" s="21"/>
      <c r="Q13" s="22"/>
    </row>
    <row r="14" spans="1:17" x14ac:dyDescent="0.35">
      <c r="A14" s="2">
        <v>13</v>
      </c>
      <c r="B14" s="2" t="s">
        <v>44</v>
      </c>
      <c r="C14" s="2" t="s">
        <v>45</v>
      </c>
      <c r="D14" s="2" t="s">
        <v>39</v>
      </c>
      <c r="E14" s="2" t="s">
        <v>46</v>
      </c>
      <c r="F14" s="3">
        <v>18.649999999999999</v>
      </c>
      <c r="G14" s="3">
        <v>18.8</v>
      </c>
      <c r="H14" s="3">
        <f t="shared" si="1"/>
        <v>18.725000000000001</v>
      </c>
      <c r="I14" s="3">
        <v>37.86</v>
      </c>
      <c r="J14" s="3">
        <v>36.659999999999997</v>
      </c>
      <c r="K14" s="3">
        <f t="shared" si="2"/>
        <v>37.26</v>
      </c>
      <c r="L14" s="3">
        <f t="shared" si="3"/>
        <v>18.534999999999997</v>
      </c>
      <c r="M14" s="3">
        <f t="shared" si="0"/>
        <v>2.3859999999999992</v>
      </c>
      <c r="N14" s="2">
        <f t="shared" si="4"/>
        <v>0.19131209622783354</v>
      </c>
      <c r="O14" s="21"/>
      <c r="P14" s="21"/>
      <c r="Q14" s="22"/>
    </row>
    <row r="15" spans="1:17" x14ac:dyDescent="0.35">
      <c r="A15" s="2">
        <v>14</v>
      </c>
      <c r="B15" s="2" t="s">
        <v>47</v>
      </c>
      <c r="C15" s="2" t="s">
        <v>48</v>
      </c>
      <c r="D15" s="2" t="s">
        <v>39</v>
      </c>
      <c r="E15" s="2" t="s">
        <v>49</v>
      </c>
      <c r="F15" s="3">
        <v>18</v>
      </c>
      <c r="G15" s="3">
        <v>18.399999999999999</v>
      </c>
      <c r="H15" s="3">
        <f t="shared" si="1"/>
        <v>18.2</v>
      </c>
      <c r="I15" s="3">
        <v>33.97</v>
      </c>
      <c r="J15" s="3">
        <v>35.020000000000003</v>
      </c>
      <c r="K15" s="3">
        <f t="shared" si="2"/>
        <v>34.495000000000005</v>
      </c>
      <c r="L15" s="3">
        <f t="shared" si="3"/>
        <v>16.295000000000005</v>
      </c>
      <c r="M15" s="3">
        <f t="shared" si="0"/>
        <v>0.1460000000000079</v>
      </c>
      <c r="N15" s="2">
        <f t="shared" si="4"/>
        <v>0.90375272675108098</v>
      </c>
      <c r="O15" s="21"/>
      <c r="P15" s="21"/>
      <c r="Q15" s="22"/>
    </row>
    <row r="16" spans="1:17" x14ac:dyDescent="0.35">
      <c r="A16" s="2">
        <v>15</v>
      </c>
      <c r="B16" s="2" t="s">
        <v>50</v>
      </c>
      <c r="C16" s="2" t="s">
        <v>51</v>
      </c>
      <c r="D16" s="2" t="s">
        <v>39</v>
      </c>
      <c r="E16" s="2" t="s">
        <v>52</v>
      </c>
      <c r="F16" s="4">
        <v>20.010000000000002</v>
      </c>
      <c r="G16" s="4">
        <v>20.3</v>
      </c>
      <c r="H16" s="3">
        <f t="shared" si="1"/>
        <v>20.155000000000001</v>
      </c>
      <c r="I16" s="4">
        <v>33.39</v>
      </c>
      <c r="J16" s="3">
        <v>34.090000000000003</v>
      </c>
      <c r="K16" s="3">
        <f t="shared" si="2"/>
        <v>33.74</v>
      </c>
      <c r="L16" s="3">
        <f t="shared" si="3"/>
        <v>13.585000000000001</v>
      </c>
      <c r="M16" s="3">
        <f t="shared" si="0"/>
        <v>-2.5639999999999965</v>
      </c>
      <c r="N16" s="2">
        <f t="shared" si="4"/>
        <v>5.9134497250953526</v>
      </c>
      <c r="O16" s="21"/>
      <c r="P16" s="21"/>
      <c r="Q16" s="22"/>
    </row>
    <row r="17" spans="1:17" x14ac:dyDescent="0.35">
      <c r="A17" s="5">
        <v>16</v>
      </c>
      <c r="B17" s="5" t="s">
        <v>53</v>
      </c>
      <c r="C17" s="5" t="s">
        <v>54</v>
      </c>
      <c r="D17" s="5" t="s">
        <v>55</v>
      </c>
      <c r="E17" s="7">
        <v>30</v>
      </c>
      <c r="F17" s="6">
        <v>19.329999999999998</v>
      </c>
      <c r="G17" s="6">
        <v>20.07</v>
      </c>
      <c r="H17" s="6">
        <f t="shared" si="1"/>
        <v>19.7</v>
      </c>
      <c r="I17" s="6">
        <v>38.299999999999997</v>
      </c>
      <c r="J17" s="6">
        <v>36.270000000000003</v>
      </c>
      <c r="K17" s="6">
        <f t="shared" si="2"/>
        <v>37.284999999999997</v>
      </c>
      <c r="L17" s="6">
        <f t="shared" si="3"/>
        <v>17.584999999999997</v>
      </c>
      <c r="M17" s="6">
        <f>L17-L17</f>
        <v>0</v>
      </c>
      <c r="N17" s="5">
        <f t="shared" si="4"/>
        <v>1</v>
      </c>
      <c r="O17" s="23">
        <f t="shared" si="5"/>
        <v>16.149000000000004</v>
      </c>
      <c r="P17" s="23">
        <f>O17-$O$17</f>
        <v>0</v>
      </c>
      <c r="Q17" s="24">
        <f t="shared" si="6"/>
        <v>1</v>
      </c>
    </row>
    <row r="18" spans="1:17" x14ac:dyDescent="0.35">
      <c r="A18" s="5">
        <v>17</v>
      </c>
      <c r="B18" s="5" t="s">
        <v>56</v>
      </c>
      <c r="C18" s="5" t="s">
        <v>57</v>
      </c>
      <c r="D18" s="5" t="s">
        <v>55</v>
      </c>
      <c r="E18" s="7">
        <v>33</v>
      </c>
      <c r="F18" s="6">
        <v>16.170000000000002</v>
      </c>
      <c r="G18" s="6">
        <v>16.829999999999998</v>
      </c>
      <c r="H18" s="6">
        <f t="shared" si="1"/>
        <v>16.5</v>
      </c>
      <c r="I18" s="6">
        <v>30.2</v>
      </c>
      <c r="J18" s="6">
        <v>31.17</v>
      </c>
      <c r="K18" s="6">
        <f t="shared" si="2"/>
        <v>30.685000000000002</v>
      </c>
      <c r="L18" s="6">
        <f t="shared" si="3"/>
        <v>14.185000000000002</v>
      </c>
      <c r="M18" s="6">
        <f t="shared" ref="M18:M21" si="7">L18-L18</f>
        <v>0</v>
      </c>
      <c r="N18" s="5">
        <f t="shared" si="4"/>
        <v>1</v>
      </c>
      <c r="O18" s="23"/>
      <c r="P18" s="23"/>
      <c r="Q18" s="24"/>
    </row>
    <row r="19" spans="1:17" x14ac:dyDescent="0.35">
      <c r="A19" s="5">
        <v>18</v>
      </c>
      <c r="B19" s="5" t="s">
        <v>58</v>
      </c>
      <c r="C19" s="5" t="s">
        <v>59</v>
      </c>
      <c r="D19" s="5" t="s">
        <v>55</v>
      </c>
      <c r="E19" s="7">
        <v>34</v>
      </c>
      <c r="F19" s="6">
        <v>17.16</v>
      </c>
      <c r="G19" s="6">
        <v>17.28</v>
      </c>
      <c r="H19" s="6">
        <f t="shared" si="1"/>
        <v>17.22</v>
      </c>
      <c r="I19" s="6">
        <v>34.01</v>
      </c>
      <c r="J19" s="6">
        <v>34.11</v>
      </c>
      <c r="K19" s="6">
        <f t="shared" si="2"/>
        <v>34.06</v>
      </c>
      <c r="L19" s="6">
        <f t="shared" si="3"/>
        <v>16.840000000000003</v>
      </c>
      <c r="M19" s="6">
        <f t="shared" si="7"/>
        <v>0</v>
      </c>
      <c r="N19" s="5">
        <f t="shared" si="4"/>
        <v>1</v>
      </c>
      <c r="O19" s="23"/>
      <c r="P19" s="23"/>
      <c r="Q19" s="24"/>
    </row>
    <row r="20" spans="1:17" x14ac:dyDescent="0.35">
      <c r="A20" s="5">
        <v>19</v>
      </c>
      <c r="B20" s="5" t="s">
        <v>60</v>
      </c>
      <c r="C20" s="5" t="s">
        <v>61</v>
      </c>
      <c r="D20" s="5" t="s">
        <v>55</v>
      </c>
      <c r="E20" s="7">
        <v>36</v>
      </c>
      <c r="F20" s="6">
        <v>16.32</v>
      </c>
      <c r="G20" s="6">
        <v>17</v>
      </c>
      <c r="H20" s="6">
        <f t="shared" si="1"/>
        <v>16.66</v>
      </c>
      <c r="I20" s="6">
        <v>30.2</v>
      </c>
      <c r="J20" s="6">
        <v>31.03</v>
      </c>
      <c r="K20" s="6">
        <f t="shared" si="2"/>
        <v>30.615000000000002</v>
      </c>
      <c r="L20" s="6">
        <f t="shared" si="3"/>
        <v>13.955000000000002</v>
      </c>
      <c r="M20" s="6">
        <f t="shared" si="7"/>
        <v>0</v>
      </c>
      <c r="N20" s="5">
        <f t="shared" si="4"/>
        <v>1</v>
      </c>
      <c r="O20" s="23"/>
      <c r="P20" s="23"/>
      <c r="Q20" s="24"/>
    </row>
    <row r="21" spans="1:17" x14ac:dyDescent="0.35">
      <c r="A21" s="5">
        <v>20</v>
      </c>
      <c r="B21" s="5" t="s">
        <v>62</v>
      </c>
      <c r="C21" s="5" t="s">
        <v>63</v>
      </c>
      <c r="D21" s="5" t="s">
        <v>55</v>
      </c>
      <c r="E21" s="7">
        <v>39</v>
      </c>
      <c r="F21" s="6">
        <v>17.010000000000002</v>
      </c>
      <c r="G21" s="6">
        <v>17.39</v>
      </c>
      <c r="H21" s="6">
        <f t="shared" si="1"/>
        <v>17.200000000000003</v>
      </c>
      <c r="I21" s="6">
        <v>35.369999999999997</v>
      </c>
      <c r="J21" s="6">
        <v>35.39</v>
      </c>
      <c r="K21" s="6">
        <f t="shared" si="2"/>
        <v>35.379999999999995</v>
      </c>
      <c r="L21" s="6">
        <f t="shared" si="3"/>
        <v>18.179999999999993</v>
      </c>
      <c r="M21" s="6">
        <f t="shared" si="7"/>
        <v>0</v>
      </c>
      <c r="N21" s="5">
        <f t="shared" si="4"/>
        <v>1</v>
      </c>
      <c r="O21" s="23"/>
      <c r="P21" s="23"/>
      <c r="Q21" s="24"/>
    </row>
    <row r="22" spans="1:17" x14ac:dyDescent="0.35">
      <c r="A22" s="2">
        <v>21</v>
      </c>
      <c r="B22" s="2" t="s">
        <v>64</v>
      </c>
      <c r="C22" s="2" t="s">
        <v>65</v>
      </c>
      <c r="D22" s="2" t="s">
        <v>66</v>
      </c>
      <c r="E22" s="2" t="s">
        <v>67</v>
      </c>
      <c r="F22" s="3">
        <v>17.760000000000002</v>
      </c>
      <c r="G22" s="3">
        <v>17.91</v>
      </c>
      <c r="H22" s="3">
        <f>AVERAGE(F22:G22)</f>
        <v>17.835000000000001</v>
      </c>
      <c r="I22" s="3">
        <v>34.42</v>
      </c>
      <c r="J22" s="3">
        <v>34.9</v>
      </c>
      <c r="K22" s="3">
        <f>AVERAGE(I22:J22)</f>
        <v>34.659999999999997</v>
      </c>
      <c r="L22" s="3">
        <f>K22-H22</f>
        <v>16.824999999999996</v>
      </c>
      <c r="M22" s="3">
        <f>L22-(AVERAGE($L$17:$L$21))</f>
        <v>0.67599999999999838</v>
      </c>
      <c r="N22" s="2">
        <f>2^(-M22)</f>
        <v>0.6258982293269979</v>
      </c>
      <c r="O22" s="21">
        <f>AVERAGE(K22:K26)-AVERAGE(H22:H26)</f>
        <v>16.633999999999997</v>
      </c>
      <c r="P22" s="21">
        <f>O22-$O$17</f>
        <v>0.48499999999999233</v>
      </c>
      <c r="Q22" s="22">
        <f>2^(-P22)</f>
        <v>0.71449706987055028</v>
      </c>
    </row>
    <row r="23" spans="1:17" x14ac:dyDescent="0.35">
      <c r="A23" s="2">
        <v>22</v>
      </c>
      <c r="B23" s="2" t="s">
        <v>68</v>
      </c>
      <c r="C23" s="2" t="s">
        <v>69</v>
      </c>
      <c r="D23" s="2" t="s">
        <v>66</v>
      </c>
      <c r="E23" s="2" t="s">
        <v>70</v>
      </c>
      <c r="F23" s="3">
        <v>16.010000000000002</v>
      </c>
      <c r="G23" s="3">
        <v>16.36</v>
      </c>
      <c r="H23" s="3">
        <f>AVERAGE(F23:G23)</f>
        <v>16.185000000000002</v>
      </c>
      <c r="I23" s="3">
        <v>32.36</v>
      </c>
      <c r="J23" s="3">
        <v>33.11</v>
      </c>
      <c r="K23" s="3">
        <f>AVERAGE(I23:J23)</f>
        <v>32.734999999999999</v>
      </c>
      <c r="L23" s="3">
        <f>K23-H23</f>
        <v>16.549999999999997</v>
      </c>
      <c r="M23" s="3">
        <f>L23-(AVERAGE($L$17:$L$21))</f>
        <v>0.4009999999999998</v>
      </c>
      <c r="N23" s="2">
        <f>2^(-M23)</f>
        <v>0.7573331579384881</v>
      </c>
      <c r="O23" s="21"/>
      <c r="P23" s="21"/>
      <c r="Q23" s="22"/>
    </row>
    <row r="24" spans="1:17" x14ac:dyDescent="0.35">
      <c r="A24" s="2">
        <v>23</v>
      </c>
      <c r="B24" s="2" t="s">
        <v>71</v>
      </c>
      <c r="C24" s="2" t="s">
        <v>72</v>
      </c>
      <c r="D24" s="2" t="s">
        <v>66</v>
      </c>
      <c r="E24" s="2" t="s">
        <v>73</v>
      </c>
      <c r="F24" s="3">
        <v>16.899999999999999</v>
      </c>
      <c r="G24" s="3">
        <v>17.04</v>
      </c>
      <c r="H24" s="3">
        <f>AVERAGE(F24:G24)</f>
        <v>16.97</v>
      </c>
      <c r="I24" s="3">
        <v>31.37</v>
      </c>
      <c r="J24" s="3">
        <v>32.1</v>
      </c>
      <c r="K24" s="3">
        <f>AVERAGE(I24:J24)</f>
        <v>31.734999999999999</v>
      </c>
      <c r="L24" s="3">
        <f>K24-H24</f>
        <v>14.765000000000001</v>
      </c>
      <c r="M24" s="3">
        <f>L24-(AVERAGE($L$17:$L$21))</f>
        <v>-1.3839999999999968</v>
      </c>
      <c r="N24" s="2">
        <f>2^(-M24)</f>
        <v>2.6099098953779092</v>
      </c>
      <c r="O24" s="21"/>
      <c r="P24" s="21"/>
      <c r="Q24" s="22"/>
    </row>
    <row r="25" spans="1:17" x14ac:dyDescent="0.35">
      <c r="A25" s="2">
        <v>24</v>
      </c>
      <c r="B25" s="2" t="s">
        <v>74</v>
      </c>
      <c r="C25" s="2" t="s">
        <v>75</v>
      </c>
      <c r="D25" s="2" t="s">
        <v>66</v>
      </c>
      <c r="E25" s="2" t="s">
        <v>76</v>
      </c>
      <c r="F25" s="3">
        <v>17.66</v>
      </c>
      <c r="G25" s="3">
        <v>17.78</v>
      </c>
      <c r="H25" s="3">
        <f>AVERAGE(F25:G25)</f>
        <v>17.72</v>
      </c>
      <c r="I25" s="3">
        <v>34.72</v>
      </c>
      <c r="J25" s="3">
        <v>34.29</v>
      </c>
      <c r="K25" s="3">
        <f>AVERAGE(I25:J25)</f>
        <v>34.504999999999995</v>
      </c>
      <c r="L25" s="3">
        <f>K25-H25</f>
        <v>16.784999999999997</v>
      </c>
      <c r="M25" s="3">
        <f>L25-(AVERAGE($L$17:$L$21))</f>
        <v>0.63599999999999923</v>
      </c>
      <c r="N25" s="2">
        <f>2^(-M25)</f>
        <v>0.6434946236506357</v>
      </c>
      <c r="O25" s="21"/>
      <c r="P25" s="21"/>
      <c r="Q25" s="22"/>
    </row>
    <row r="26" spans="1:17" x14ac:dyDescent="0.35">
      <c r="A26" s="2">
        <v>25</v>
      </c>
      <c r="B26" s="2" t="s">
        <v>77</v>
      </c>
      <c r="C26" s="2" t="s">
        <v>78</v>
      </c>
      <c r="D26" s="2" t="s">
        <v>66</v>
      </c>
      <c r="E26" s="2" t="s">
        <v>79</v>
      </c>
      <c r="F26" s="3">
        <v>17.21</v>
      </c>
      <c r="G26" s="3">
        <v>17.88</v>
      </c>
      <c r="H26" s="3">
        <f>AVERAGE(F26:G26)</f>
        <v>17.545000000000002</v>
      </c>
      <c r="I26" s="3">
        <v>34.909999999999997</v>
      </c>
      <c r="J26" s="3">
        <v>36.67</v>
      </c>
      <c r="K26" s="3">
        <f>AVERAGE(I26:J26)</f>
        <v>35.79</v>
      </c>
      <c r="L26" s="3">
        <f>K26-H26</f>
        <v>18.244999999999997</v>
      </c>
      <c r="M26" s="3">
        <f>L26-(AVERAGE($L$17:$L$21))</f>
        <v>2.0960000000000001</v>
      </c>
      <c r="N26" s="2">
        <f>2^(-M26)</f>
        <v>0.23390587445785005</v>
      </c>
      <c r="O26" s="21"/>
      <c r="P26" s="21"/>
      <c r="Q26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GFAP</vt:lpstr>
      <vt:lpstr>GFAP (2)</vt:lpstr>
      <vt:lpstr>Syndecan</vt:lpstr>
      <vt:lpstr>Syndecan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2025-05-07T06:30:42Z</dcterms:created>
  <dcterms:modified xsi:type="dcterms:W3CDTF">2025-05-07T07:24:09Z</dcterms:modified>
</cp:coreProperties>
</file>