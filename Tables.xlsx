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ANOVA, Post Hoc Test, and Kaplan Meier in SPSS\"/>
    </mc:Choice>
  </mc:AlternateContent>
  <xr:revisionPtr revIDLastSave="0" documentId="13_ncr:1_{2AC23529-928B-4961-8CFA-CA10E8F477A5}" xr6:coauthVersionLast="47" xr6:coauthVersionMax="47" xr10:uidLastSave="{00000000-0000-0000-0000-000000000000}"/>
  <bookViews>
    <workbookView xWindow="-110" yWindow="-110" windowWidth="19420" windowHeight="10300" activeTab="3" xr2:uid="{61E22602-4F84-49B0-8FCC-2FA8B7BB7383}"/>
  </bookViews>
  <sheets>
    <sheet name="Tabel 4.1" sheetId="1" r:id="rId1"/>
    <sheet name="Tabel 4.2" sheetId="2" r:id="rId2"/>
    <sheet name="Tabel 4.3" sheetId="3" r:id="rId3"/>
    <sheet name="Tabel 4.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D4" i="1"/>
  <c r="D3" i="1"/>
  <c r="D2" i="3"/>
  <c r="D3" i="3"/>
</calcChain>
</file>

<file path=xl/sharedStrings.xml><?xml version="1.0" encoding="utf-8"?>
<sst xmlns="http://schemas.openxmlformats.org/spreadsheetml/2006/main" count="72" uniqueCount="25">
  <si>
    <t>Shapiro-Wilk</t>
  </si>
  <si>
    <t>Data</t>
  </si>
  <si>
    <t>Statistik W</t>
  </si>
  <si>
    <t>p-value</t>
  </si>
  <si>
    <t>Kesimpulan</t>
  </si>
  <si>
    <t>Kolmogorov-Smirnov</t>
  </si>
  <si>
    <t>(I) Kelompok</t>
  </si>
  <si>
    <t>Mean Difference (I-J)</t>
  </si>
  <si>
    <t>95% Confidence Interval</t>
  </si>
  <si>
    <t>Lower Bound</t>
  </si>
  <si>
    <t>Upper Bound</t>
  </si>
  <si>
    <t>CLP NACL 30</t>
  </si>
  <si>
    <t>CLP ALB 10</t>
  </si>
  <si>
    <t>CLP NACL 10</t>
  </si>
  <si>
    <t>CLP ONLY</t>
  </si>
  <si>
    <t>Percentile</t>
  </si>
  <si>
    <t>Dataset</t>
  </si>
  <si>
    <t>F Hitung</t>
  </si>
  <si>
    <t>Keterangan</t>
  </si>
  <si>
    <t>Sig.</t>
  </si>
  <si>
    <t>Std. Error</t>
  </si>
  <si>
    <t>GFAP</t>
  </si>
  <si>
    <t>Syndecan</t>
  </si>
  <si>
    <t>Rata-rata</t>
  </si>
  <si>
    <t>Standar Deviasi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</si>
</sst>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70" formatCode="###0.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rgb="FF010205"/>
      <name val="Times New Roman"/>
      <family val="1"/>
    </font>
    <font>
      <sz val="10"/>
      <name val="Arial"/>
    </font>
    <font>
      <sz val="9"/>
      <color indexed="60"/>
      <name val="Arial"/>
    </font>
    <font>
      <sz val="9"/>
      <color indexed="62"/>
      <name val="Arial"/>
    </font>
    <font>
      <sz val="12"/>
      <color indexed="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1"/>
    <xf numFmtId="0" fontId="4" fillId="0" borderId="0" xfId="2"/>
    <xf numFmtId="0" fontId="6" fillId="0" borderId="0" xfId="2" applyFont="1" applyBorder="1" applyAlignment="1">
      <alignment horizontal="left" wrapText="1"/>
    </xf>
    <xf numFmtId="0" fontId="6" fillId="0" borderId="20" xfId="2" applyFont="1" applyBorder="1" applyAlignment="1">
      <alignment horizontal="center" wrapText="1"/>
    </xf>
    <xf numFmtId="0" fontId="6" fillId="0" borderId="21" xfId="2" applyFont="1" applyBorder="1" applyAlignment="1">
      <alignment horizontal="center" wrapText="1"/>
    </xf>
    <xf numFmtId="0" fontId="6" fillId="0" borderId="22" xfId="2" applyFont="1" applyBorder="1" applyAlignment="1">
      <alignment horizontal="center" wrapText="1"/>
    </xf>
    <xf numFmtId="0" fontId="6" fillId="0" borderId="4" xfId="2" applyFont="1" applyBorder="1" applyAlignment="1">
      <alignment horizontal="left" wrapText="1"/>
    </xf>
    <xf numFmtId="0" fontId="6" fillId="0" borderId="5" xfId="2" applyFont="1" applyBorder="1" applyAlignment="1">
      <alignment horizontal="center" wrapText="1"/>
    </xf>
    <xf numFmtId="0" fontId="6" fillId="0" borderId="6" xfId="2" applyFont="1" applyBorder="1" applyAlignment="1">
      <alignment horizontal="center" wrapText="1"/>
    </xf>
    <xf numFmtId="0" fontId="6" fillId="0" borderId="6" xfId="2" applyFont="1" applyBorder="1" applyAlignment="1">
      <alignment horizontal="center" wrapText="1"/>
    </xf>
    <xf numFmtId="0" fontId="6" fillId="0" borderId="7" xfId="2" applyFont="1" applyBorder="1" applyAlignment="1">
      <alignment horizontal="center" wrapText="1"/>
    </xf>
    <xf numFmtId="0" fontId="6" fillId="2" borderId="23" xfId="2" applyFont="1" applyFill="1" applyBorder="1" applyAlignment="1">
      <alignment horizontal="left" vertical="top" wrapText="1"/>
    </xf>
    <xf numFmtId="0" fontId="6" fillId="2" borderId="8" xfId="2" applyFont="1" applyFill="1" applyBorder="1" applyAlignment="1">
      <alignment horizontal="left" vertical="top" wrapText="1"/>
    </xf>
    <xf numFmtId="170" fontId="5" fillId="0" borderId="10" xfId="2" applyNumberFormat="1" applyFont="1" applyBorder="1" applyAlignment="1">
      <alignment horizontal="right" vertical="top"/>
    </xf>
    <xf numFmtId="0" fontId="6" fillId="2" borderId="12" xfId="2" applyFont="1" applyFill="1" applyBorder="1" applyAlignment="1">
      <alignment horizontal="left" vertical="top" wrapText="1"/>
    </xf>
    <xf numFmtId="0" fontId="6" fillId="2" borderId="12" xfId="2" applyFont="1" applyFill="1" applyBorder="1" applyAlignment="1">
      <alignment horizontal="left" vertical="top" wrapText="1"/>
    </xf>
    <xf numFmtId="170" fontId="5" fillId="0" borderId="14" xfId="2" applyNumberFormat="1" applyFont="1" applyBorder="1" applyAlignment="1">
      <alignment horizontal="right" vertical="top"/>
    </xf>
    <xf numFmtId="0" fontId="6" fillId="2" borderId="24" xfId="2" applyFont="1" applyFill="1" applyBorder="1" applyAlignment="1">
      <alignment horizontal="left" vertical="top" wrapText="1"/>
    </xf>
    <xf numFmtId="0" fontId="6" fillId="2" borderId="24" xfId="2" applyFont="1" applyFill="1" applyBorder="1" applyAlignment="1">
      <alignment horizontal="left" vertical="top" wrapText="1"/>
    </xf>
    <xf numFmtId="170" fontId="5" fillId="0" borderId="26" xfId="2" applyNumberFormat="1" applyFont="1" applyBorder="1" applyAlignment="1">
      <alignment horizontal="right" vertical="top"/>
    </xf>
    <xf numFmtId="0" fontId="6" fillId="2" borderId="16" xfId="2" applyFont="1" applyFill="1" applyBorder="1" applyAlignment="1">
      <alignment horizontal="left" vertical="top" wrapText="1"/>
    </xf>
    <xf numFmtId="0" fontId="6" fillId="2" borderId="16" xfId="2" applyFont="1" applyFill="1" applyBorder="1" applyAlignment="1">
      <alignment horizontal="left" vertical="top" wrapText="1"/>
    </xf>
    <xf numFmtId="170" fontId="5" fillId="0" borderId="18" xfId="2" applyNumberFormat="1" applyFont="1" applyBorder="1" applyAlignment="1">
      <alignment horizontal="right" vertical="top"/>
    </xf>
    <xf numFmtId="0" fontId="4" fillId="0" borderId="0" xfId="3"/>
    <xf numFmtId="170" fontId="5" fillId="0" borderId="9" xfId="2" applyNumberFormat="1" applyFont="1" applyBorder="1" applyAlignment="1">
      <alignment horizontal="right" vertical="top"/>
    </xf>
    <xf numFmtId="170" fontId="5" fillId="0" borderId="11" xfId="2" applyNumberFormat="1" applyFont="1" applyBorder="1" applyAlignment="1">
      <alignment horizontal="right" vertical="top"/>
    </xf>
    <xf numFmtId="170" fontId="5" fillId="0" borderId="13" xfId="2" applyNumberFormat="1" applyFont="1" applyBorder="1" applyAlignment="1">
      <alignment horizontal="right" vertical="top"/>
    </xf>
    <xf numFmtId="170" fontId="5" fillId="0" borderId="15" xfId="2" applyNumberFormat="1" applyFont="1" applyBorder="1" applyAlignment="1">
      <alignment horizontal="right" vertical="top"/>
    </xf>
    <xf numFmtId="170" fontId="5" fillId="0" borderId="25" xfId="2" applyNumberFormat="1" applyFont="1" applyBorder="1" applyAlignment="1">
      <alignment horizontal="right" vertical="top"/>
    </xf>
    <xf numFmtId="170" fontId="5" fillId="0" borderId="27" xfId="2" applyNumberFormat="1" applyFont="1" applyBorder="1" applyAlignment="1">
      <alignment horizontal="right" vertical="top"/>
    </xf>
    <xf numFmtId="170" fontId="5" fillId="0" borderId="17" xfId="2" applyNumberFormat="1" applyFont="1" applyBorder="1" applyAlignment="1">
      <alignment horizontal="right" vertical="top"/>
    </xf>
    <xf numFmtId="170" fontId="5" fillId="0" borderId="19" xfId="2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center"/>
    </xf>
    <xf numFmtId="170" fontId="7" fillId="0" borderId="0" xfId="4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0" fontId="7" fillId="0" borderId="3" xfId="4" applyNumberFormat="1" applyFont="1" applyBorder="1" applyAlignment="1">
      <alignment horizontal="center" vertical="center"/>
    </xf>
    <xf numFmtId="170" fontId="7" fillId="0" borderId="0" xfId="3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center" wrapText="1"/>
    </xf>
    <xf numFmtId="170" fontId="7" fillId="0" borderId="3" xfId="3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center" vertical="center"/>
    </xf>
  </cellXfs>
  <cellStyles count="5">
    <cellStyle name="Normal" xfId="0" builtinId="0"/>
    <cellStyle name="Normal_Tabel 4.1" xfId="3" xr:uid="{79A6F2E4-9EB1-481C-9AC6-EA9E17BC2EB3}"/>
    <cellStyle name="Normal_Tabel 4.2" xfId="4" xr:uid="{1DC53CA4-01EF-401D-8690-DDB4E43A28BB}"/>
    <cellStyle name="Normal_Tabel 4.3" xfId="1" xr:uid="{1ED72DC1-6645-4E47-BE1A-A3AA0F343696}"/>
    <cellStyle name="Normal_Tabel 4.4" xfId="2" xr:uid="{7CB2DC1B-E6E2-4597-8166-6DB7997161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B138-98F2-422A-9673-2F3D14B416A8}">
  <dimension ref="A1:I9"/>
  <sheetViews>
    <sheetView workbookViewId="0">
      <selection sqref="A1:G4"/>
    </sheetView>
  </sheetViews>
  <sheetFormatPr defaultRowHeight="14.5" x14ac:dyDescent="0.35"/>
  <cols>
    <col min="1" max="1" width="9.26953125" bestFit="1" customWidth="1"/>
    <col min="2" max="2" width="10.453125" bestFit="1" customWidth="1"/>
    <col min="3" max="3" width="7.36328125" bestFit="1" customWidth="1"/>
    <col min="4" max="4" width="13" bestFit="1" customWidth="1"/>
    <col min="5" max="5" width="10.453125" bestFit="1" customWidth="1"/>
    <col min="6" max="6" width="7.36328125" bestFit="1" customWidth="1"/>
    <col min="7" max="7" width="13" bestFit="1" customWidth="1"/>
  </cols>
  <sheetData>
    <row r="1" spans="1:9" ht="15.5" x14ac:dyDescent="0.35">
      <c r="A1" s="9" t="s">
        <v>1</v>
      </c>
      <c r="B1" s="8" t="s">
        <v>5</v>
      </c>
      <c r="C1" s="8"/>
      <c r="D1" s="8"/>
      <c r="E1" s="8" t="s">
        <v>0</v>
      </c>
      <c r="F1" s="8"/>
      <c r="G1" s="8"/>
      <c r="I1" s="34"/>
    </row>
    <row r="2" spans="1:9" ht="15.5" x14ac:dyDescent="0.35">
      <c r="A2" s="10"/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  <c r="I2" s="34"/>
    </row>
    <row r="3" spans="1:9" ht="15.5" x14ac:dyDescent="0.35">
      <c r="A3" s="43" t="s">
        <v>21</v>
      </c>
      <c r="B3" s="47">
        <v>0.19000401216707696</v>
      </c>
      <c r="C3" s="47">
        <v>5.6671832111417346E-2</v>
      </c>
      <c r="D3" s="48" t="str">
        <f>IF(C3&lt;0.05,"Tidak Normal","Normal")</f>
        <v>Normal</v>
      </c>
      <c r="E3" s="47">
        <v>0.88851538217602632</v>
      </c>
      <c r="F3" s="47">
        <v>2.5256868189724068E-2</v>
      </c>
      <c r="G3" s="48" t="str">
        <f t="shared" ref="G3:G4" si="0">IF(F3&lt;0.05,"Tidak Normal","Normal")</f>
        <v>Tidak Normal</v>
      </c>
      <c r="I3" s="34"/>
    </row>
    <row r="4" spans="1:9" ht="15.5" x14ac:dyDescent="0.35">
      <c r="A4" s="1" t="s">
        <v>22</v>
      </c>
      <c r="B4" s="49">
        <v>0.22441212686519585</v>
      </c>
      <c r="C4" s="49">
        <v>9.5009432986227129E-3</v>
      </c>
      <c r="D4" s="50" t="str">
        <f>IF(C4&lt;0.05,"Tidak Normal","Normal")</f>
        <v>Tidak Normal</v>
      </c>
      <c r="E4" s="49">
        <v>0.91180965828052973</v>
      </c>
      <c r="F4" s="49">
        <v>6.9008356801906451E-2</v>
      </c>
      <c r="G4" s="3" t="str">
        <f t="shared" si="0"/>
        <v>Normal</v>
      </c>
      <c r="I4" s="34"/>
    </row>
    <row r="5" spans="1:9" ht="14.5" customHeight="1" x14ac:dyDescent="0.35">
      <c r="I5" s="34"/>
    </row>
    <row r="6" spans="1:9" x14ac:dyDescent="0.35">
      <c r="I6" s="34"/>
    </row>
    <row r="7" spans="1:9" x14ac:dyDescent="0.35">
      <c r="I7" s="34"/>
    </row>
    <row r="8" spans="1:9" x14ac:dyDescent="0.35">
      <c r="I8" s="34"/>
    </row>
    <row r="9" spans="1:9" x14ac:dyDescent="0.35">
      <c r="I9" s="34"/>
    </row>
  </sheetData>
  <mergeCells count="3">
    <mergeCell ref="B1:D1"/>
    <mergeCell ref="E1:G1"/>
    <mergeCell ref="A1:A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3CB4-38B8-4602-B1E5-4F6583A7CB75}">
  <dimension ref="A1:N5"/>
  <sheetViews>
    <sheetView workbookViewId="0">
      <selection activeCell="K1" sqref="K1:M3"/>
    </sheetView>
  </sheetViews>
  <sheetFormatPr defaultRowHeight="14.5" x14ac:dyDescent="0.35"/>
  <cols>
    <col min="1" max="1" width="9.26953125" bestFit="1" customWidth="1"/>
    <col min="2" max="6" width="6.453125" bestFit="1" customWidth="1"/>
    <col min="7" max="8" width="5.7265625" bestFit="1" customWidth="1"/>
    <col min="11" max="11" width="9.26953125" bestFit="1" customWidth="1"/>
    <col min="12" max="12" width="9" bestFit="1" customWidth="1"/>
    <col min="13" max="13" width="14.6328125" bestFit="1" customWidth="1"/>
  </cols>
  <sheetData>
    <row r="1" spans="1:14" ht="15.5" x14ac:dyDescent="0.35">
      <c r="A1" s="9" t="s">
        <v>1</v>
      </c>
      <c r="B1" s="45" t="s">
        <v>15</v>
      </c>
      <c r="C1" s="45"/>
      <c r="D1" s="45"/>
      <c r="E1" s="45"/>
      <c r="F1" s="45"/>
      <c r="G1" s="45"/>
      <c r="H1" s="45"/>
      <c r="I1" s="43"/>
      <c r="J1" s="43"/>
      <c r="K1" s="6" t="s">
        <v>1</v>
      </c>
      <c r="L1" s="6" t="s">
        <v>23</v>
      </c>
      <c r="M1" s="6" t="s">
        <v>24</v>
      </c>
      <c r="N1" s="4"/>
    </row>
    <row r="2" spans="1:14" ht="15.5" x14ac:dyDescent="0.35">
      <c r="A2" s="10"/>
      <c r="B2" s="1">
        <v>5</v>
      </c>
      <c r="C2" s="1">
        <v>10</v>
      </c>
      <c r="D2" s="1">
        <v>25</v>
      </c>
      <c r="E2" s="1">
        <v>50</v>
      </c>
      <c r="F2" s="1">
        <v>75</v>
      </c>
      <c r="G2" s="1">
        <v>90</v>
      </c>
      <c r="H2" s="1">
        <v>95</v>
      </c>
      <c r="I2" s="43"/>
      <c r="J2" s="43"/>
      <c r="K2" s="43" t="s">
        <v>21</v>
      </c>
      <c r="L2" s="44">
        <v>-1.1949999999999998</v>
      </c>
      <c r="M2" s="44">
        <v>1.1173697969597596</v>
      </c>
      <c r="N2" s="4"/>
    </row>
    <row r="3" spans="1:14" ht="15.5" x14ac:dyDescent="0.35">
      <c r="A3" s="43" t="s">
        <v>21</v>
      </c>
      <c r="B3" s="44">
        <v>-3.9919999999999991</v>
      </c>
      <c r="C3" s="44">
        <v>-2.9040000000000017</v>
      </c>
      <c r="D3" s="44">
        <v>-1.8830000000000027</v>
      </c>
      <c r="E3" s="44">
        <v>-0.89050000000000029</v>
      </c>
      <c r="F3" s="44">
        <v>-0.16075000000000039</v>
      </c>
      <c r="G3" s="44">
        <v>0</v>
      </c>
      <c r="H3" s="44">
        <v>0</v>
      </c>
      <c r="I3" s="43"/>
      <c r="J3" s="43"/>
      <c r="K3" s="1" t="s">
        <v>22</v>
      </c>
      <c r="L3" s="46">
        <v>3.000000000002956E-3</v>
      </c>
      <c r="M3" s="46">
        <v>1.9787070472779356</v>
      </c>
      <c r="N3" s="4"/>
    </row>
    <row r="4" spans="1:14" ht="23" customHeight="1" x14ac:dyDescent="0.35">
      <c r="A4" s="1" t="s">
        <v>22</v>
      </c>
      <c r="B4" s="46">
        <v>-4.6257499999999956</v>
      </c>
      <c r="C4" s="46">
        <v>-2.9104999999999981</v>
      </c>
      <c r="D4" s="46">
        <v>-0.65274999999999395</v>
      </c>
      <c r="E4" s="46">
        <v>0</v>
      </c>
      <c r="F4" s="46">
        <v>1.7572499999999991</v>
      </c>
      <c r="G4" s="46">
        <v>2.606500000000004</v>
      </c>
      <c r="H4" s="46">
        <v>2.6547500000000057</v>
      </c>
      <c r="I4" s="43"/>
      <c r="J4" s="43"/>
      <c r="K4" s="43"/>
      <c r="L4" s="43"/>
      <c r="M4" s="43"/>
      <c r="N4" s="4"/>
    </row>
    <row r="5" spans="1:14" ht="23" customHeight="1" x14ac:dyDescent="0.35"/>
  </sheetData>
  <mergeCells count="2">
    <mergeCell ref="A1:A2"/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7F12-2E7D-46F4-973E-803484F776B9}">
  <dimension ref="A1:F6"/>
  <sheetViews>
    <sheetView workbookViewId="0">
      <selection sqref="A1:D3"/>
    </sheetView>
  </sheetViews>
  <sheetFormatPr defaultRowHeight="14.5" x14ac:dyDescent="0.35"/>
  <cols>
    <col min="1" max="1" width="10.90625" bestFit="1" customWidth="1"/>
    <col min="2" max="2" width="8.453125" bestFit="1" customWidth="1"/>
    <col min="3" max="3" width="7.36328125" bestFit="1" customWidth="1"/>
    <col min="4" max="4" width="20" bestFit="1" customWidth="1"/>
  </cols>
  <sheetData>
    <row r="1" spans="1:6" ht="15.5" x14ac:dyDescent="0.35">
      <c r="A1" s="6" t="s">
        <v>16</v>
      </c>
      <c r="B1" s="6" t="s">
        <v>17</v>
      </c>
      <c r="C1" s="6" t="s">
        <v>3</v>
      </c>
      <c r="D1" s="6" t="s">
        <v>18</v>
      </c>
      <c r="E1" s="11"/>
      <c r="F1" s="11"/>
    </row>
    <row r="2" spans="1:6" ht="15.5" x14ac:dyDescent="0.35">
      <c r="A2" s="4" t="s">
        <v>21</v>
      </c>
      <c r="B2" s="5">
        <v>3.871</v>
      </c>
      <c r="C2" s="5">
        <v>2.9000000000000001E-2</v>
      </c>
      <c r="D2" s="4" t="str">
        <f t="shared" ref="D2:D3" si="0">IF(C2&gt;0.05,"Tidak Ada Perbedaan","Ada Perbedaan")</f>
        <v>Ada Perbedaan</v>
      </c>
      <c r="E2" s="11"/>
      <c r="F2" s="11"/>
    </row>
    <row r="3" spans="1:6" ht="15.5" x14ac:dyDescent="0.35">
      <c r="A3" s="1" t="s">
        <v>22</v>
      </c>
      <c r="B3" s="7">
        <v>0.28499999999999998</v>
      </c>
      <c r="C3" s="7">
        <v>0.83599999999999997</v>
      </c>
      <c r="D3" s="1" t="str">
        <f t="shared" si="0"/>
        <v>Tidak Ada Perbedaan</v>
      </c>
      <c r="E3" s="11"/>
      <c r="F3" s="11"/>
    </row>
    <row r="4" spans="1:6" x14ac:dyDescent="0.35">
      <c r="E4" s="11"/>
      <c r="F4" s="11"/>
    </row>
    <row r="5" spans="1:6" x14ac:dyDescent="0.35">
      <c r="E5" s="11"/>
      <c r="F5" s="11"/>
    </row>
    <row r="6" spans="1:6" x14ac:dyDescent="0.35">
      <c r="E6" s="11"/>
      <c r="F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DD8D-14B2-4BD0-882D-1307BB7BF1FC}">
  <dimension ref="A1:P14"/>
  <sheetViews>
    <sheetView tabSelected="1" topLeftCell="A4" workbookViewId="0">
      <selection activeCell="A9" sqref="A9:A11"/>
    </sheetView>
  </sheetViews>
  <sheetFormatPr defaultRowHeight="14.5" x14ac:dyDescent="0.35"/>
  <cols>
    <col min="3" max="3" width="16.1796875" bestFit="1" customWidth="1"/>
    <col min="4" max="4" width="7.81640625" bestFit="1" customWidth="1"/>
    <col min="5" max="5" width="4.90625" bestFit="1" customWidth="1"/>
    <col min="6" max="7" width="10.453125" bestFit="1" customWidth="1"/>
    <col min="11" max="11" width="16.1796875" bestFit="1" customWidth="1"/>
    <col min="12" max="12" width="7.81640625" bestFit="1" customWidth="1"/>
    <col min="13" max="13" width="4.90625" bestFit="1" customWidth="1"/>
    <col min="14" max="15" width="10.453125" bestFit="1" customWidth="1"/>
  </cols>
  <sheetData>
    <row r="1" spans="1:16" ht="35" customHeight="1" x14ac:dyDescent="0.35">
      <c r="A1" s="13" t="s">
        <v>6</v>
      </c>
      <c r="B1" s="13"/>
      <c r="C1" s="14" t="s">
        <v>7</v>
      </c>
      <c r="D1" s="15" t="s">
        <v>20</v>
      </c>
      <c r="E1" s="15" t="s">
        <v>19</v>
      </c>
      <c r="F1" s="15" t="s">
        <v>8</v>
      </c>
      <c r="G1" s="16"/>
      <c r="H1" s="12"/>
      <c r="I1" s="13" t="s">
        <v>6</v>
      </c>
      <c r="J1" s="13"/>
      <c r="K1" s="14" t="s">
        <v>7</v>
      </c>
      <c r="L1" s="15" t="s">
        <v>20</v>
      </c>
      <c r="M1" s="15" t="s">
        <v>19</v>
      </c>
      <c r="N1" s="15" t="s">
        <v>8</v>
      </c>
      <c r="O1" s="16"/>
      <c r="P1" s="12"/>
    </row>
    <row r="2" spans="1:16" ht="24" x14ac:dyDescent="0.35">
      <c r="A2" s="17"/>
      <c r="B2" s="17"/>
      <c r="C2" s="18"/>
      <c r="D2" s="19"/>
      <c r="E2" s="19"/>
      <c r="F2" s="20" t="s">
        <v>9</v>
      </c>
      <c r="G2" s="21" t="s">
        <v>10</v>
      </c>
      <c r="H2" s="12"/>
      <c r="I2" s="17"/>
      <c r="J2" s="17"/>
      <c r="K2" s="18"/>
      <c r="L2" s="19"/>
      <c r="M2" s="19"/>
      <c r="N2" s="20" t="s">
        <v>9</v>
      </c>
      <c r="O2" s="21" t="s">
        <v>10</v>
      </c>
      <c r="P2" s="12"/>
    </row>
    <row r="3" spans="1:16" ht="23" x14ac:dyDescent="0.35">
      <c r="A3" s="22" t="s">
        <v>11</v>
      </c>
      <c r="B3" s="23" t="s">
        <v>12</v>
      </c>
      <c r="C3" s="35">
        <v>0.4170000000000027</v>
      </c>
      <c r="D3" s="24">
        <v>0.5861902421569295</v>
      </c>
      <c r="E3" s="24">
        <v>0.89112697448690059</v>
      </c>
      <c r="F3" s="24">
        <v>-1.2601019131199866</v>
      </c>
      <c r="G3" s="36">
        <v>2.0941019131199923</v>
      </c>
      <c r="H3" s="12"/>
      <c r="I3" s="22" t="s">
        <v>11</v>
      </c>
      <c r="J3" s="23" t="s">
        <v>12</v>
      </c>
      <c r="K3" s="35">
        <v>-0.9899999999999991</v>
      </c>
      <c r="L3" s="24">
        <v>1.3286933431006567</v>
      </c>
      <c r="M3" s="24">
        <v>0.87740079685920846</v>
      </c>
      <c r="N3" s="24">
        <v>-4.791418016554684</v>
      </c>
      <c r="O3" s="36">
        <v>2.8114180165546863</v>
      </c>
      <c r="P3" s="12"/>
    </row>
    <row r="4" spans="1:16" ht="23" x14ac:dyDescent="0.35">
      <c r="A4" s="25"/>
      <c r="B4" s="26" t="s">
        <v>13</v>
      </c>
      <c r="C4" s="37">
        <v>0.12700000000000089</v>
      </c>
      <c r="D4" s="27">
        <v>0.5861902421569295</v>
      </c>
      <c r="E4" s="27">
        <v>0.99625800929654906</v>
      </c>
      <c r="F4" s="27">
        <v>-1.5501019131199885</v>
      </c>
      <c r="G4" s="38">
        <v>1.8041019131199902</v>
      </c>
      <c r="H4" s="12"/>
      <c r="I4" s="25"/>
      <c r="J4" s="26" t="s">
        <v>13</v>
      </c>
      <c r="K4" s="37">
        <v>-1.1249999999999993</v>
      </c>
      <c r="L4" s="27">
        <v>1.3286933431006567</v>
      </c>
      <c r="M4" s="27">
        <v>0.83150113813505622</v>
      </c>
      <c r="N4" s="27">
        <v>-4.9264180165546847</v>
      </c>
      <c r="O4" s="38">
        <v>2.6764180165546856</v>
      </c>
      <c r="P4" s="12"/>
    </row>
    <row r="5" spans="1:16" ht="35" customHeight="1" x14ac:dyDescent="0.35">
      <c r="A5" s="28"/>
      <c r="B5" s="29" t="s">
        <v>14</v>
      </c>
      <c r="C5" s="39">
        <v>-1.4119999999999986</v>
      </c>
      <c r="D5" s="30">
        <v>0.5861902421569295</v>
      </c>
      <c r="E5" s="30">
        <v>0.1154221829998503</v>
      </c>
      <c r="F5" s="30">
        <v>-3.0891019131199879</v>
      </c>
      <c r="G5" s="40">
        <v>0.26510191311999076</v>
      </c>
      <c r="H5" s="12"/>
      <c r="I5" s="28"/>
      <c r="J5" s="29" t="s">
        <v>14</v>
      </c>
      <c r="K5" s="39">
        <v>-0.70099999999999552</v>
      </c>
      <c r="L5" s="30">
        <v>1.3286933431006567</v>
      </c>
      <c r="M5" s="30">
        <v>0.95113234779405964</v>
      </c>
      <c r="N5" s="30">
        <v>-4.5024180165546808</v>
      </c>
      <c r="O5" s="40">
        <v>3.1004180165546895</v>
      </c>
      <c r="P5" s="12"/>
    </row>
    <row r="6" spans="1:16" ht="23" x14ac:dyDescent="0.35">
      <c r="A6" s="28" t="s">
        <v>12</v>
      </c>
      <c r="B6" s="26" t="s">
        <v>11</v>
      </c>
      <c r="C6" s="37">
        <v>-0.4170000000000027</v>
      </c>
      <c r="D6" s="27">
        <v>0.5861902421569295</v>
      </c>
      <c r="E6" s="27">
        <v>0.89112697448690059</v>
      </c>
      <c r="F6" s="27">
        <v>-2.0941019131199923</v>
      </c>
      <c r="G6" s="38">
        <v>1.2601019131199866</v>
      </c>
      <c r="H6" s="12"/>
      <c r="I6" s="28" t="s">
        <v>12</v>
      </c>
      <c r="J6" s="26" t="s">
        <v>11</v>
      </c>
      <c r="K6" s="37">
        <v>0.9899999999999991</v>
      </c>
      <c r="L6" s="27">
        <v>1.3286933431006567</v>
      </c>
      <c r="M6" s="27">
        <v>0.87740079685920846</v>
      </c>
      <c r="N6" s="27">
        <v>-2.8114180165546863</v>
      </c>
      <c r="O6" s="38">
        <v>4.791418016554684</v>
      </c>
      <c r="P6" s="12"/>
    </row>
    <row r="7" spans="1:16" ht="23" x14ac:dyDescent="0.35">
      <c r="A7" s="25"/>
      <c r="B7" s="26" t="s">
        <v>13</v>
      </c>
      <c r="C7" s="37">
        <v>-0.29000000000000181</v>
      </c>
      <c r="D7" s="27">
        <v>0.5861902421569295</v>
      </c>
      <c r="E7" s="27">
        <v>0.95912424083499626</v>
      </c>
      <c r="F7" s="27">
        <v>-1.9671019131199912</v>
      </c>
      <c r="G7" s="38">
        <v>1.3871019131199875</v>
      </c>
      <c r="H7" s="12"/>
      <c r="I7" s="25"/>
      <c r="J7" s="26" t="s">
        <v>13</v>
      </c>
      <c r="K7" s="37">
        <v>-0.13500000000000018</v>
      </c>
      <c r="L7" s="27">
        <v>1.3286933431006567</v>
      </c>
      <c r="M7" s="27">
        <v>0.99960773028487226</v>
      </c>
      <c r="N7" s="27">
        <v>-3.9364180165546854</v>
      </c>
      <c r="O7" s="38">
        <v>3.6664180165546849</v>
      </c>
      <c r="P7" s="12"/>
    </row>
    <row r="8" spans="1:16" ht="23" x14ac:dyDescent="0.35">
      <c r="A8" s="28"/>
      <c r="B8" s="29" t="s">
        <v>14</v>
      </c>
      <c r="C8" s="39">
        <v>-1.829</v>
      </c>
      <c r="D8" s="30">
        <v>0.5861902421569295</v>
      </c>
      <c r="E8" s="30">
        <v>3.0200545554472935E-2</v>
      </c>
      <c r="F8" s="30">
        <v>-3.5061019131199904</v>
      </c>
      <c r="G8" s="40">
        <v>-0.15189808688001194</v>
      </c>
      <c r="H8" s="12"/>
      <c r="I8" s="28"/>
      <c r="J8" s="29" t="s">
        <v>14</v>
      </c>
      <c r="K8" s="39">
        <v>0.28900000000000359</v>
      </c>
      <c r="L8" s="30">
        <v>1.3286933431006567</v>
      </c>
      <c r="M8" s="30">
        <v>0.99621421995561776</v>
      </c>
      <c r="N8" s="30">
        <v>-3.5124180165546814</v>
      </c>
      <c r="O8" s="40">
        <v>4.0904180165546888</v>
      </c>
      <c r="P8" s="12"/>
    </row>
    <row r="9" spans="1:16" ht="23" x14ac:dyDescent="0.35">
      <c r="A9" s="28" t="s">
        <v>13</v>
      </c>
      <c r="B9" s="26" t="s">
        <v>11</v>
      </c>
      <c r="C9" s="37">
        <v>-0.12700000000000089</v>
      </c>
      <c r="D9" s="27">
        <v>0.5861902421569295</v>
      </c>
      <c r="E9" s="27">
        <v>0.99625800929654906</v>
      </c>
      <c r="F9" s="27">
        <v>-1.8041019131199902</v>
      </c>
      <c r="G9" s="38">
        <v>1.5501019131199885</v>
      </c>
      <c r="H9" s="12"/>
      <c r="I9" s="28" t="s">
        <v>13</v>
      </c>
      <c r="J9" s="26" t="s">
        <v>11</v>
      </c>
      <c r="K9" s="37">
        <v>1.1249999999999993</v>
      </c>
      <c r="L9" s="27">
        <v>1.3286933431006567</v>
      </c>
      <c r="M9" s="27">
        <v>0.83150113813505622</v>
      </c>
      <c r="N9" s="27">
        <v>-2.6764180165546856</v>
      </c>
      <c r="O9" s="38">
        <v>4.9264180165546847</v>
      </c>
      <c r="P9" s="12"/>
    </row>
    <row r="10" spans="1:16" ht="35" customHeight="1" x14ac:dyDescent="0.35">
      <c r="A10" s="25"/>
      <c r="B10" s="26" t="s">
        <v>12</v>
      </c>
      <c r="C10" s="37">
        <v>0.29000000000000181</v>
      </c>
      <c r="D10" s="27">
        <v>0.5861902421569295</v>
      </c>
      <c r="E10" s="27">
        <v>0.95912424083499626</v>
      </c>
      <c r="F10" s="27">
        <v>-1.3871019131199875</v>
      </c>
      <c r="G10" s="38">
        <v>1.9671019131199912</v>
      </c>
      <c r="H10" s="12"/>
      <c r="I10" s="25"/>
      <c r="J10" s="26" t="s">
        <v>12</v>
      </c>
      <c r="K10" s="37">
        <v>0.13500000000000018</v>
      </c>
      <c r="L10" s="27">
        <v>1.3286933431006567</v>
      </c>
      <c r="M10" s="27">
        <v>0.99960773028487226</v>
      </c>
      <c r="N10" s="27">
        <v>-3.6664180165546849</v>
      </c>
      <c r="O10" s="38">
        <v>3.9364180165546854</v>
      </c>
      <c r="P10" s="12"/>
    </row>
    <row r="11" spans="1:16" ht="23" x14ac:dyDescent="0.35">
      <c r="A11" s="28"/>
      <c r="B11" s="29" t="s">
        <v>14</v>
      </c>
      <c r="C11" s="39">
        <v>-1.5389999999999995</v>
      </c>
      <c r="D11" s="30">
        <v>0.5861902421569295</v>
      </c>
      <c r="E11" s="30">
        <v>7.795437855627374E-2</v>
      </c>
      <c r="F11" s="30">
        <v>-3.2161019131199886</v>
      </c>
      <c r="G11" s="40">
        <v>0.13810191311998987</v>
      </c>
      <c r="H11" s="12"/>
      <c r="I11" s="28"/>
      <c r="J11" s="29" t="s">
        <v>14</v>
      </c>
      <c r="K11" s="39">
        <v>0.42400000000000376</v>
      </c>
      <c r="L11" s="30">
        <v>1.3286933431006567</v>
      </c>
      <c r="M11" s="30">
        <v>0.98832830408342898</v>
      </c>
      <c r="N11" s="30">
        <v>-3.3774180165546812</v>
      </c>
      <c r="O11" s="40">
        <v>4.2254180165546886</v>
      </c>
      <c r="P11" s="12"/>
    </row>
    <row r="12" spans="1:16" ht="23" x14ac:dyDescent="0.35">
      <c r="A12" s="28" t="s">
        <v>14</v>
      </c>
      <c r="B12" s="26" t="s">
        <v>11</v>
      </c>
      <c r="C12" s="37">
        <v>1.4119999999999986</v>
      </c>
      <c r="D12" s="27">
        <v>0.5861902421569295</v>
      </c>
      <c r="E12" s="27">
        <v>0.1154221829998503</v>
      </c>
      <c r="F12" s="27">
        <v>-0.26510191311999076</v>
      </c>
      <c r="G12" s="38">
        <v>3.0891019131199879</v>
      </c>
      <c r="H12" s="12"/>
      <c r="I12" s="28" t="s">
        <v>14</v>
      </c>
      <c r="J12" s="26" t="s">
        <v>11</v>
      </c>
      <c r="K12" s="37">
        <v>0.70099999999999552</v>
      </c>
      <c r="L12" s="27">
        <v>1.3286933431006567</v>
      </c>
      <c r="M12" s="27">
        <v>0.95113234779405964</v>
      </c>
      <c r="N12" s="27">
        <v>-3.1004180165546895</v>
      </c>
      <c r="O12" s="38">
        <v>4.5024180165546808</v>
      </c>
      <c r="P12" s="12"/>
    </row>
    <row r="13" spans="1:16" ht="35" customHeight="1" x14ac:dyDescent="0.35">
      <c r="A13" s="25"/>
      <c r="B13" s="26" t="s">
        <v>12</v>
      </c>
      <c r="C13" s="37">
        <v>1.829</v>
      </c>
      <c r="D13" s="27">
        <v>0.5861902421569295</v>
      </c>
      <c r="E13" s="27">
        <v>3.0200545554472935E-2</v>
      </c>
      <c r="F13" s="27">
        <v>0.15189808688001194</v>
      </c>
      <c r="G13" s="38">
        <v>3.5061019131199904</v>
      </c>
      <c r="H13" s="12"/>
      <c r="I13" s="25"/>
      <c r="J13" s="26" t="s">
        <v>12</v>
      </c>
      <c r="K13" s="37">
        <v>-0.28900000000000359</v>
      </c>
      <c r="L13" s="27">
        <v>1.3286933431006567</v>
      </c>
      <c r="M13" s="27">
        <v>0.99621421995561776</v>
      </c>
      <c r="N13" s="27">
        <v>-4.0904180165546888</v>
      </c>
      <c r="O13" s="38">
        <v>3.5124180165546814</v>
      </c>
      <c r="P13" s="12"/>
    </row>
    <row r="14" spans="1:16" ht="35" customHeight="1" x14ac:dyDescent="0.35">
      <c r="A14" s="31"/>
      <c r="B14" s="32" t="s">
        <v>13</v>
      </c>
      <c r="C14" s="41">
        <v>1.5389999999999995</v>
      </c>
      <c r="D14" s="33">
        <v>0.5861902421569295</v>
      </c>
      <c r="E14" s="33">
        <v>7.795437855627374E-2</v>
      </c>
      <c r="F14" s="33">
        <v>-0.13810191311998987</v>
      </c>
      <c r="G14" s="42">
        <v>3.2161019131199886</v>
      </c>
      <c r="H14" s="12"/>
      <c r="I14" s="31"/>
      <c r="J14" s="32" t="s">
        <v>13</v>
      </c>
      <c r="K14" s="41">
        <v>-0.42400000000000376</v>
      </c>
      <c r="L14" s="33">
        <v>1.3286933431006567</v>
      </c>
      <c r="M14" s="33">
        <v>0.98832830408342898</v>
      </c>
      <c r="N14" s="33">
        <v>-4.2254180165546886</v>
      </c>
      <c r="O14" s="42">
        <v>3.3774180165546812</v>
      </c>
      <c r="P14" s="12"/>
    </row>
  </sheetData>
  <mergeCells count="18">
    <mergeCell ref="I9:I11"/>
    <mergeCell ref="I12:I14"/>
    <mergeCell ref="A1:B2"/>
    <mergeCell ref="C1:C2"/>
    <mergeCell ref="D1:D2"/>
    <mergeCell ref="E1:E2"/>
    <mergeCell ref="F1:G1"/>
    <mergeCell ref="A3:A5"/>
    <mergeCell ref="A6:A8"/>
    <mergeCell ref="A9:A11"/>
    <mergeCell ref="A12:A14"/>
    <mergeCell ref="I1:J2"/>
    <mergeCell ref="K1:K2"/>
    <mergeCell ref="L1:L2"/>
    <mergeCell ref="M1:M2"/>
    <mergeCell ref="N1:O1"/>
    <mergeCell ref="I3:I5"/>
    <mergeCell ref="I6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 4.1</vt:lpstr>
      <vt:lpstr>Tabel 4.2</vt:lpstr>
      <vt:lpstr>Tabel 4.3</vt:lpstr>
      <vt:lpstr>Tabel 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2025-05-08T06:53:00Z</dcterms:created>
  <dcterms:modified xsi:type="dcterms:W3CDTF">2025-05-08T13:45:20Z</dcterms:modified>
</cp:coreProperties>
</file>