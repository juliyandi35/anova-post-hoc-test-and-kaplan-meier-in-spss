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ANOVA, Post Hoc Test, and Kaplan Meier in SPSS\"/>
    </mc:Choice>
  </mc:AlternateContent>
  <xr:revisionPtr revIDLastSave="0" documentId="13_ncr:1_{F8849731-FBFD-4A53-AE7A-33E322B7207A}" xr6:coauthVersionLast="47" xr6:coauthVersionMax="47" xr10:uidLastSave="{00000000-0000-0000-0000-000000000000}"/>
  <bookViews>
    <workbookView xWindow="-90" yWindow="0" windowWidth="9780" windowHeight="10170" firstSheet="5" activeTab="6" xr2:uid="{0E1BD5F1-9881-4B66-8EE6-764AF2448A36}"/>
  </bookViews>
  <sheets>
    <sheet name="All" sheetId="1" state="hidden" r:id="rId1"/>
    <sheet name="Larutan" sheetId="2" state="hidden" r:id="rId2"/>
    <sheet name="NanoDrop" sheetId="4" state="hidden" r:id="rId3"/>
    <sheet name="GFAP" sheetId="5" r:id="rId4"/>
    <sheet name="GFAP (2)" sheetId="7" r:id="rId5"/>
    <sheet name="Syndecan" sheetId="6" r:id="rId6"/>
    <sheet name="Syndecan (2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5" l="1"/>
  <c r="K30" i="8"/>
  <c r="H30" i="8"/>
  <c r="K29" i="8"/>
  <c r="H29" i="8"/>
  <c r="K28" i="8"/>
  <c r="H28" i="8"/>
  <c r="K27" i="8"/>
  <c r="H27" i="8"/>
  <c r="K26" i="8"/>
  <c r="H26" i="8"/>
  <c r="K25" i="8"/>
  <c r="H25" i="8"/>
  <c r="K24" i="8"/>
  <c r="H24" i="8"/>
  <c r="K23" i="8"/>
  <c r="H23" i="8"/>
  <c r="K22" i="8"/>
  <c r="H22" i="8"/>
  <c r="K21" i="8"/>
  <c r="H21" i="8"/>
  <c r="K20" i="8"/>
  <c r="H20" i="8"/>
  <c r="K19" i="8"/>
  <c r="H19" i="8"/>
  <c r="K18" i="8"/>
  <c r="H18" i="8"/>
  <c r="K17" i="8"/>
  <c r="H17" i="8"/>
  <c r="K16" i="8"/>
  <c r="H16" i="8"/>
  <c r="L16" i="8" s="1"/>
  <c r="K15" i="8"/>
  <c r="H15" i="8"/>
  <c r="K14" i="8"/>
  <c r="H14" i="8"/>
  <c r="K13" i="8"/>
  <c r="H13" i="8"/>
  <c r="K12" i="8"/>
  <c r="H12" i="8"/>
  <c r="K11" i="8"/>
  <c r="H11" i="8"/>
  <c r="K10" i="8"/>
  <c r="H10" i="8"/>
  <c r="K9" i="8"/>
  <c r="H9" i="8"/>
  <c r="K8" i="8"/>
  <c r="H8" i="8"/>
  <c r="K7" i="8"/>
  <c r="H7" i="8"/>
  <c r="K6" i="8"/>
  <c r="H6" i="8"/>
  <c r="H21" i="7"/>
  <c r="H22" i="7"/>
  <c r="H23" i="7"/>
  <c r="H24" i="7"/>
  <c r="H25" i="7"/>
  <c r="K30" i="7"/>
  <c r="H30" i="7"/>
  <c r="K29" i="7"/>
  <c r="H29" i="7"/>
  <c r="K28" i="7"/>
  <c r="H28" i="7"/>
  <c r="K27" i="7"/>
  <c r="H27" i="7"/>
  <c r="L27" i="7" s="1"/>
  <c r="K26" i="7"/>
  <c r="H26" i="7"/>
  <c r="K25" i="7"/>
  <c r="K24" i="7"/>
  <c r="K23" i="7"/>
  <c r="K22" i="7"/>
  <c r="K21" i="7"/>
  <c r="K20" i="7"/>
  <c r="H20" i="7"/>
  <c r="K19" i="7"/>
  <c r="H19" i="7"/>
  <c r="K18" i="7"/>
  <c r="H18" i="7"/>
  <c r="K17" i="7"/>
  <c r="H17" i="7"/>
  <c r="L17" i="7" s="1"/>
  <c r="K16" i="7"/>
  <c r="H16" i="7"/>
  <c r="K15" i="7"/>
  <c r="H15" i="7"/>
  <c r="K14" i="7"/>
  <c r="H14" i="7"/>
  <c r="K13" i="7"/>
  <c r="H13" i="7"/>
  <c r="K12" i="7"/>
  <c r="H12" i="7"/>
  <c r="K11" i="7"/>
  <c r="H11" i="7"/>
  <c r="K10" i="7"/>
  <c r="H10" i="7"/>
  <c r="K9" i="7"/>
  <c r="H9" i="7"/>
  <c r="K8" i="7"/>
  <c r="H8" i="7"/>
  <c r="K7" i="7"/>
  <c r="H7" i="7"/>
  <c r="K6" i="7"/>
  <c r="H6" i="7"/>
  <c r="H20" i="6"/>
  <c r="H21" i="6"/>
  <c r="H22" i="6"/>
  <c r="H23" i="6"/>
  <c r="L23" i="6" s="1"/>
  <c r="H24" i="6"/>
  <c r="K6" i="6"/>
  <c r="K7" i="6"/>
  <c r="K8" i="6"/>
  <c r="K9" i="6"/>
  <c r="K10" i="6"/>
  <c r="K11" i="6"/>
  <c r="K12" i="6"/>
  <c r="L12" i="6" s="1"/>
  <c r="K13" i="6"/>
  <c r="K14" i="6"/>
  <c r="L14" i="6" s="1"/>
  <c r="K15" i="6"/>
  <c r="K16" i="6"/>
  <c r="K17" i="6"/>
  <c r="K18" i="6"/>
  <c r="K19" i="6"/>
  <c r="K20" i="6"/>
  <c r="L20" i="6" s="1"/>
  <c r="K21" i="6"/>
  <c r="K22" i="6"/>
  <c r="L22" i="6" s="1"/>
  <c r="K23" i="6"/>
  <c r="K24" i="6"/>
  <c r="K25" i="6"/>
  <c r="K26" i="6"/>
  <c r="K27" i="6"/>
  <c r="K28" i="6"/>
  <c r="K29" i="6"/>
  <c r="K5" i="6"/>
  <c r="H6" i="6"/>
  <c r="H7" i="6"/>
  <c r="H8" i="6"/>
  <c r="L8" i="6" s="1"/>
  <c r="H9" i="6"/>
  <c r="H10" i="6"/>
  <c r="H11" i="6"/>
  <c r="H12" i="6"/>
  <c r="H13" i="6"/>
  <c r="H14" i="6"/>
  <c r="H15" i="6"/>
  <c r="H16" i="6"/>
  <c r="L16" i="6" s="1"/>
  <c r="H17" i="6"/>
  <c r="H18" i="6"/>
  <c r="H19" i="6"/>
  <c r="L24" i="6"/>
  <c r="H25" i="6"/>
  <c r="H26" i="6"/>
  <c r="H27" i="6"/>
  <c r="H28" i="6"/>
  <c r="H29" i="6"/>
  <c r="H5" i="6"/>
  <c r="L26" i="6"/>
  <c r="M26" i="6" s="1"/>
  <c r="N26" i="6" s="1"/>
  <c r="L25" i="6"/>
  <c r="M25" i="6" s="1"/>
  <c r="N25" i="6" s="1"/>
  <c r="L15" i="6"/>
  <c r="L7" i="6"/>
  <c r="L6" i="6"/>
  <c r="O20" i="5"/>
  <c r="L25" i="5"/>
  <c r="H20" i="5"/>
  <c r="L20" i="5" s="1"/>
  <c r="H21" i="5"/>
  <c r="H22" i="5"/>
  <c r="H23" i="5"/>
  <c r="H24" i="5"/>
  <c r="K6" i="5"/>
  <c r="K7" i="5"/>
  <c r="K8" i="5"/>
  <c r="K9" i="5"/>
  <c r="K10" i="5"/>
  <c r="K11" i="5"/>
  <c r="K12" i="5"/>
  <c r="L12" i="5" s="1"/>
  <c r="K13" i="5"/>
  <c r="O10" i="5" s="1"/>
  <c r="K14" i="5"/>
  <c r="K15" i="5"/>
  <c r="O15" i="5" s="1"/>
  <c r="K16" i="5"/>
  <c r="K17" i="5"/>
  <c r="K18" i="5"/>
  <c r="K19" i="5"/>
  <c r="K20" i="5"/>
  <c r="K21" i="5"/>
  <c r="K22" i="5"/>
  <c r="K23" i="5"/>
  <c r="K24" i="5"/>
  <c r="L24" i="5" s="1"/>
  <c r="K25" i="5"/>
  <c r="O25" i="5" s="1"/>
  <c r="P25" i="5" s="1"/>
  <c r="Q25" i="5" s="1"/>
  <c r="K26" i="5"/>
  <c r="K27" i="5"/>
  <c r="K28" i="5"/>
  <c r="K29" i="5"/>
  <c r="K5" i="5"/>
  <c r="L5" i="5" s="1"/>
  <c r="H6" i="5"/>
  <c r="H7" i="5"/>
  <c r="H8" i="5"/>
  <c r="H9" i="5"/>
  <c r="H10" i="5"/>
  <c r="L10" i="5" s="1"/>
  <c r="H11" i="5"/>
  <c r="H12" i="5"/>
  <c r="H13" i="5"/>
  <c r="L13" i="5" s="1"/>
  <c r="H14" i="5"/>
  <c r="H15" i="5"/>
  <c r="H16" i="5"/>
  <c r="H17" i="5"/>
  <c r="H18" i="5"/>
  <c r="L18" i="5" s="1"/>
  <c r="H19" i="5"/>
  <c r="H25" i="5"/>
  <c r="H26" i="5"/>
  <c r="L26" i="5" s="1"/>
  <c r="M26" i="5" s="1"/>
  <c r="H27" i="5"/>
  <c r="L27" i="5" s="1"/>
  <c r="H28" i="5"/>
  <c r="L28" i="5" s="1"/>
  <c r="M28" i="5" s="1"/>
  <c r="H29" i="5"/>
  <c r="H5" i="5"/>
  <c r="P20" i="5" l="1"/>
  <c r="Q20" i="5" s="1"/>
  <c r="P15" i="5"/>
  <c r="Q15" i="5" s="1"/>
  <c r="P10" i="5"/>
  <c r="Q10" i="5" s="1"/>
  <c r="L19" i="5"/>
  <c r="L11" i="5"/>
  <c r="M11" i="5" s="1"/>
  <c r="L23" i="5"/>
  <c r="M23" i="5" s="1"/>
  <c r="N23" i="5" s="1"/>
  <c r="L18" i="6"/>
  <c r="L10" i="6"/>
  <c r="L19" i="6"/>
  <c r="L22" i="5"/>
  <c r="L9" i="6"/>
  <c r="M10" i="5"/>
  <c r="O5" i="5"/>
  <c r="P5" i="5" s="1"/>
  <c r="L17" i="5"/>
  <c r="L9" i="5"/>
  <c r="L21" i="5"/>
  <c r="M21" i="5" s="1"/>
  <c r="N21" i="5" s="1"/>
  <c r="L29" i="5"/>
  <c r="M18" i="5" s="1"/>
  <c r="N18" i="5" s="1"/>
  <c r="L16" i="5"/>
  <c r="L8" i="5"/>
  <c r="L15" i="5"/>
  <c r="L7" i="5"/>
  <c r="M7" i="5" s="1"/>
  <c r="N7" i="5" s="1"/>
  <c r="L5" i="6"/>
  <c r="L14" i="5"/>
  <c r="L6" i="5"/>
  <c r="L26" i="7"/>
  <c r="L30" i="7"/>
  <c r="L26" i="8"/>
  <c r="O26" i="8"/>
  <c r="L9" i="8"/>
  <c r="L6" i="8"/>
  <c r="L17" i="8"/>
  <c r="O16" i="8"/>
  <c r="P16" i="8" s="1"/>
  <c r="Q16" i="8" s="1"/>
  <c r="O6" i="8"/>
  <c r="L19" i="8"/>
  <c r="L6" i="7"/>
  <c r="L19" i="7"/>
  <c r="O26" i="7"/>
  <c r="L14" i="8"/>
  <c r="L20" i="8"/>
  <c r="L27" i="8"/>
  <c r="L15" i="8"/>
  <c r="L28" i="8"/>
  <c r="L8" i="8"/>
  <c r="L18" i="8"/>
  <c r="L12" i="8"/>
  <c r="L22" i="8"/>
  <c r="M22" i="8" s="1"/>
  <c r="N22" i="8" s="1"/>
  <c r="L29" i="8"/>
  <c r="L10" i="8"/>
  <c r="L24" i="8"/>
  <c r="M24" i="8" s="1"/>
  <c r="N24" i="8" s="1"/>
  <c r="L7" i="8"/>
  <c r="O11" i="8"/>
  <c r="O21" i="8"/>
  <c r="P21" i="8" s="1"/>
  <c r="Q21" i="8" s="1"/>
  <c r="L25" i="8"/>
  <c r="M25" i="8" s="1"/>
  <c r="N25" i="8" s="1"/>
  <c r="L13" i="8"/>
  <c r="L23" i="8"/>
  <c r="M23" i="8" s="1"/>
  <c r="N23" i="8" s="1"/>
  <c r="L30" i="8"/>
  <c r="L21" i="8"/>
  <c r="M21" i="8" s="1"/>
  <c r="N21" i="8" s="1"/>
  <c r="L11" i="8"/>
  <c r="L12" i="7"/>
  <c r="L29" i="7"/>
  <c r="O16" i="7"/>
  <c r="L28" i="7"/>
  <c r="L9" i="7"/>
  <c r="L25" i="7"/>
  <c r="M25" i="7" s="1"/>
  <c r="N25" i="7" s="1"/>
  <c r="O6" i="7"/>
  <c r="L22" i="7"/>
  <c r="M22" i="7" s="1"/>
  <c r="N22" i="7" s="1"/>
  <c r="L15" i="7"/>
  <c r="L8" i="7"/>
  <c r="O11" i="7"/>
  <c r="L16" i="7"/>
  <c r="L24" i="7"/>
  <c r="M24" i="7" s="1"/>
  <c r="N24" i="7" s="1"/>
  <c r="L13" i="7"/>
  <c r="L7" i="7"/>
  <c r="L10" i="7"/>
  <c r="L14" i="7"/>
  <c r="L18" i="7"/>
  <c r="L21" i="7"/>
  <c r="L23" i="7"/>
  <c r="M23" i="7" s="1"/>
  <c r="N23" i="7" s="1"/>
  <c r="L20" i="7"/>
  <c r="O21" i="7"/>
  <c r="P21" i="7" s="1"/>
  <c r="Q21" i="7" s="1"/>
  <c r="L11" i="7"/>
  <c r="L21" i="6"/>
  <c r="L13" i="6"/>
  <c r="O15" i="6"/>
  <c r="P15" i="6" s="1"/>
  <c r="Q15" i="6" s="1"/>
  <c r="L29" i="6"/>
  <c r="M29" i="6" s="1"/>
  <c r="N29" i="6" s="1"/>
  <c r="O20" i="6"/>
  <c r="L11" i="6"/>
  <c r="M11" i="6" s="1"/>
  <c r="N11" i="6" s="1"/>
  <c r="L28" i="6"/>
  <c r="M28" i="6" s="1"/>
  <c r="N28" i="6" s="1"/>
  <c r="L17" i="6"/>
  <c r="L27" i="6"/>
  <c r="M27" i="6" s="1"/>
  <c r="N27" i="6" s="1"/>
  <c r="O25" i="6"/>
  <c r="P25" i="6" s="1"/>
  <c r="Q25" i="6" s="1"/>
  <c r="O10" i="6"/>
  <c r="P10" i="6" s="1"/>
  <c r="Q10" i="6" s="1"/>
  <c r="O5" i="6"/>
  <c r="M14" i="6"/>
  <c r="N14" i="6" s="1"/>
  <c r="N17" i="5"/>
  <c r="M17" i="5"/>
  <c r="M9" i="5"/>
  <c r="N9" i="5" s="1"/>
  <c r="M29" i="5"/>
  <c r="N29" i="5" s="1"/>
  <c r="M16" i="5"/>
  <c r="N16" i="5" s="1"/>
  <c r="M8" i="5"/>
  <c r="N8" i="5" s="1"/>
  <c r="M20" i="5"/>
  <c r="M15" i="5"/>
  <c r="M27" i="5"/>
  <c r="M24" i="5"/>
  <c r="N24" i="5" s="1"/>
  <c r="M14" i="5"/>
  <c r="N14" i="5" s="1"/>
  <c r="M6" i="5"/>
  <c r="N6" i="5" s="1"/>
  <c r="M13" i="5"/>
  <c r="N13" i="5" s="1"/>
  <c r="M5" i="5"/>
  <c r="M25" i="5"/>
  <c r="N11" i="5"/>
  <c r="N27" i="5"/>
  <c r="N5" i="5"/>
  <c r="N25" i="5"/>
  <c r="N26" i="5"/>
  <c r="N15" i="5"/>
  <c r="N28" i="5"/>
  <c r="N20" i="5"/>
  <c r="N10" i="5"/>
  <c r="M13" i="6" l="1"/>
  <c r="N13" i="6" s="1"/>
  <c r="M19" i="5"/>
  <c r="N19" i="5" s="1"/>
  <c r="M17" i="6"/>
  <c r="N17" i="6" s="1"/>
  <c r="M22" i="5"/>
  <c r="N22" i="5" s="1"/>
  <c r="M12" i="5"/>
  <c r="N12" i="5" s="1"/>
  <c r="P5" i="6"/>
  <c r="Q5" i="6" s="1"/>
  <c r="P20" i="6"/>
  <c r="Q20" i="6" s="1"/>
  <c r="P11" i="8"/>
  <c r="Q11" i="8" s="1"/>
  <c r="P6" i="8"/>
  <c r="Q6" i="8" s="1"/>
  <c r="M28" i="8"/>
  <c r="N28" i="8" s="1"/>
  <c r="M12" i="8"/>
  <c r="N12" i="8" s="1"/>
  <c r="M30" i="8"/>
  <c r="N30" i="8" s="1"/>
  <c r="P26" i="8"/>
  <c r="Q26" i="8" s="1"/>
  <c r="M11" i="8"/>
  <c r="N11" i="8" s="1"/>
  <c r="M19" i="8"/>
  <c r="N19" i="8" s="1"/>
  <c r="M18" i="8"/>
  <c r="N18" i="8" s="1"/>
  <c r="M13" i="8"/>
  <c r="N13" i="8" s="1"/>
  <c r="M15" i="8"/>
  <c r="N15" i="8" s="1"/>
  <c r="M17" i="8"/>
  <c r="N17" i="8" s="1"/>
  <c r="M9" i="8"/>
  <c r="N9" i="8" s="1"/>
  <c r="M14" i="8"/>
  <c r="N14" i="8" s="1"/>
  <c r="M7" i="8"/>
  <c r="N7" i="8" s="1"/>
  <c r="M16" i="8"/>
  <c r="N16" i="8" s="1"/>
  <c r="M29" i="8"/>
  <c r="N29" i="8" s="1"/>
  <c r="M6" i="8"/>
  <c r="N6" i="8" s="1"/>
  <c r="M20" i="8"/>
  <c r="N20" i="8" s="1"/>
  <c r="M26" i="8"/>
  <c r="N26" i="8" s="1"/>
  <c r="M27" i="8"/>
  <c r="N27" i="8" s="1"/>
  <c r="M8" i="8"/>
  <c r="N8" i="8" s="1"/>
  <c r="M10" i="8"/>
  <c r="N10" i="8" s="1"/>
  <c r="M7" i="7"/>
  <c r="N7" i="7" s="1"/>
  <c r="M28" i="7"/>
  <c r="N28" i="7" s="1"/>
  <c r="M16" i="7"/>
  <c r="N16" i="7" s="1"/>
  <c r="M26" i="7"/>
  <c r="N26" i="7" s="1"/>
  <c r="M21" i="7"/>
  <c r="N21" i="7" s="1"/>
  <c r="M29" i="7"/>
  <c r="N29" i="7" s="1"/>
  <c r="M18" i="7"/>
  <c r="N18" i="7" s="1"/>
  <c r="M27" i="7"/>
  <c r="N27" i="7" s="1"/>
  <c r="M14" i="7"/>
  <c r="N14" i="7" s="1"/>
  <c r="M30" i="7"/>
  <c r="N30" i="7" s="1"/>
  <c r="M19" i="7"/>
  <c r="N19" i="7" s="1"/>
  <c r="P26" i="7"/>
  <c r="Q26" i="7" s="1"/>
  <c r="M17" i="7"/>
  <c r="N17" i="7" s="1"/>
  <c r="M9" i="7"/>
  <c r="N9" i="7" s="1"/>
  <c r="M15" i="7"/>
  <c r="N15" i="7" s="1"/>
  <c r="M8" i="7"/>
  <c r="N8" i="7" s="1"/>
  <c r="M13" i="7"/>
  <c r="N13" i="7" s="1"/>
  <c r="M12" i="7"/>
  <c r="N12" i="7" s="1"/>
  <c r="M10" i="7"/>
  <c r="N10" i="7" s="1"/>
  <c r="M20" i="7"/>
  <c r="N20" i="7" s="1"/>
  <c r="M11" i="7"/>
  <c r="N11" i="7" s="1"/>
  <c r="M6" i="7"/>
  <c r="N6" i="7" s="1"/>
  <c r="P11" i="7"/>
  <c r="Q11" i="7" s="1"/>
  <c r="P16" i="7"/>
  <c r="Q16" i="7" s="1"/>
  <c r="P6" i="7"/>
  <c r="Q6" i="7" s="1"/>
  <c r="M22" i="6"/>
  <c r="N22" i="6" s="1"/>
  <c r="M16" i="6"/>
  <c r="N16" i="6" s="1"/>
  <c r="M12" i="6"/>
  <c r="N12" i="6" s="1"/>
  <c r="M24" i="6"/>
  <c r="N24" i="6" s="1"/>
  <c r="M10" i="6"/>
  <c r="N10" i="6" s="1"/>
  <c r="M15" i="6"/>
  <c r="N15" i="6" s="1"/>
  <c r="M5" i="6"/>
  <c r="N5" i="6" s="1"/>
  <c r="M18" i="6"/>
  <c r="N18" i="6" s="1"/>
  <c r="M8" i="6"/>
  <c r="N8" i="6" s="1"/>
  <c r="M9" i="6"/>
  <c r="N9" i="6" s="1"/>
  <c r="M7" i="6"/>
  <c r="N7" i="6" s="1"/>
  <c r="M20" i="6"/>
  <c r="N20" i="6" s="1"/>
  <c r="M6" i="6"/>
  <c r="N6" i="6" s="1"/>
  <c r="M23" i="6"/>
  <c r="N23" i="6" s="1"/>
  <c r="M19" i="6"/>
  <c r="N19" i="6" s="1"/>
  <c r="M21" i="6"/>
  <c r="N21" i="6" s="1"/>
  <c r="D25" i="2"/>
  <c r="D26" i="2"/>
  <c r="D27" i="2"/>
  <c r="D28" i="2"/>
  <c r="D29" i="2"/>
  <c r="D30" i="2"/>
  <c r="D31" i="2"/>
  <c r="D24" i="2"/>
  <c r="D32" i="2" s="1"/>
  <c r="D33" i="2" s="1"/>
  <c r="B30" i="2"/>
  <c r="B20" i="2"/>
  <c r="D20" i="2" s="1"/>
  <c r="D19" i="2"/>
  <c r="D18" i="2"/>
  <c r="D17" i="2"/>
  <c r="D22" i="2" s="1"/>
  <c r="D16" i="2"/>
  <c r="D15" i="2"/>
  <c r="D14" i="2"/>
  <c r="D11" i="2" l="1"/>
  <c r="B7" i="2"/>
  <c r="D7" i="2" s="1"/>
  <c r="G7" i="2" s="1"/>
  <c r="D6" i="2"/>
  <c r="G6" i="2" s="1"/>
  <c r="D5" i="2"/>
  <c r="G5" i="2" s="1"/>
  <c r="D4" i="2"/>
  <c r="G4" i="2" s="1"/>
  <c r="D3" i="2"/>
  <c r="G3" i="2" s="1"/>
  <c r="D2" i="2"/>
  <c r="G2" i="2" s="1"/>
  <c r="D1" i="2"/>
  <c r="D9" i="2" l="1"/>
  <c r="G1" i="2"/>
  <c r="G9" i="2" s="1"/>
  <c r="G10" i="2" s="1"/>
</calcChain>
</file>

<file path=xl/sharedStrings.xml><?xml version="1.0" encoding="utf-8"?>
<sst xmlns="http://schemas.openxmlformats.org/spreadsheetml/2006/main" count="778" uniqueCount="171">
  <si>
    <t>Grup</t>
  </si>
  <si>
    <t>Kode Tikus</t>
  </si>
  <si>
    <t>CLP NACL 30</t>
  </si>
  <si>
    <t>K3.3</t>
  </si>
  <si>
    <t>K3.4</t>
  </si>
  <si>
    <t>K4.1</t>
  </si>
  <si>
    <t>K4.2</t>
  </si>
  <si>
    <t>CLP NACL 10</t>
  </si>
  <si>
    <t>K4.3</t>
  </si>
  <si>
    <t>K4.4</t>
  </si>
  <si>
    <t>K4.5</t>
  </si>
  <si>
    <t>K5.1</t>
  </si>
  <si>
    <t>CLP NACL10</t>
  </si>
  <si>
    <t>K6.2</t>
  </si>
  <si>
    <t>K7.5</t>
  </si>
  <si>
    <t>OPERASI</t>
  </si>
  <si>
    <t>TERMINASI</t>
  </si>
  <si>
    <t>Penerimaan di LPT</t>
  </si>
  <si>
    <t>KODE SAMPEL</t>
  </si>
  <si>
    <t>PAT1</t>
  </si>
  <si>
    <t>PAT2</t>
  </si>
  <si>
    <t>PAT3</t>
  </si>
  <si>
    <t>PAT4</t>
  </si>
  <si>
    <t>PAT5</t>
  </si>
  <si>
    <t>PAT6</t>
  </si>
  <si>
    <t>PAT7</t>
  </si>
  <si>
    <t>PAT8</t>
  </si>
  <si>
    <t>PAT9</t>
  </si>
  <si>
    <t>PAT10</t>
  </si>
  <si>
    <t>Tanggal ekstraksi</t>
  </si>
  <si>
    <t>Keterangan tambahan</t>
  </si>
  <si>
    <t>7-2 CIP ALB 10</t>
  </si>
  <si>
    <t>10 CLP NaCL 30</t>
  </si>
  <si>
    <t>11 CLP NaCL 30</t>
  </si>
  <si>
    <t>12 CLP NaCL 30</t>
  </si>
  <si>
    <t>13 CLP NaCL 30</t>
  </si>
  <si>
    <t>21 CLP NaCL 10</t>
  </si>
  <si>
    <t>22 CLP NaCL 10</t>
  </si>
  <si>
    <t>SYN</t>
  </si>
  <si>
    <t>GFAP</t>
  </si>
  <si>
    <t>SensiFast</t>
  </si>
  <si>
    <t>1. Masukkan 90ul SensiFast</t>
  </si>
  <si>
    <t>Primer</t>
  </si>
  <si>
    <t>primer</t>
  </si>
  <si>
    <t>sampel</t>
  </si>
  <si>
    <t>2. Masukkan 1,8 ul Reverse Transkriptase</t>
  </si>
  <si>
    <t>3. Masukkan 3,6 ul RNAse Inhibitor</t>
  </si>
  <si>
    <t>Sampel (300ng/ul)*</t>
  </si>
  <si>
    <t>diencerkan 10x</t>
  </si>
  <si>
    <t>4. Masukkan 70,2 ul DEPC Water</t>
  </si>
  <si>
    <t>Reverse Transkriptase</t>
  </si>
  <si>
    <t>5. Bagi, masing-masing 55,2 ul ke dalam 3 PCR Tube</t>
  </si>
  <si>
    <t>RNAse Inhibitor</t>
  </si>
  <si>
    <t>6. Tambahan masing-masing 2,4 primer (berbeda) ke dalam tube</t>
  </si>
  <si>
    <t>DW</t>
  </si>
  <si>
    <t>7. Bagi, masing-masing 20 ul ke dalam tube</t>
  </si>
  <si>
    <t>8. Tambahkan masing-masing 2ul sampel</t>
  </si>
  <si>
    <t xml:space="preserve">Total tube: 9 </t>
  </si>
  <si>
    <t>- tube GAPDH</t>
  </si>
  <si>
    <t>- tube syndecan</t>
  </si>
  <si>
    <t>- tube GFAP</t>
  </si>
  <si>
    <t>untuk 3 sampel (2 chip)</t>
  </si>
  <si>
    <t>Nucleic Acid (ng/ul)</t>
  </si>
  <si>
    <t>260/280</t>
  </si>
  <si>
    <t>260/230</t>
  </si>
  <si>
    <t>RNA</t>
  </si>
  <si>
    <t>ASUS</t>
  </si>
  <si>
    <t>P05</t>
  </si>
  <si>
    <t>P04</t>
  </si>
  <si>
    <t>P03</t>
  </si>
  <si>
    <t>P02</t>
  </si>
  <si>
    <t>PAT E</t>
  </si>
  <si>
    <t>PAT D</t>
  </si>
  <si>
    <t>P01</t>
  </si>
  <si>
    <t>PAT C</t>
  </si>
  <si>
    <t>PAT B</t>
  </si>
  <si>
    <t>PAT A</t>
  </si>
  <si>
    <t>PAT E 18H</t>
  </si>
  <si>
    <t>PAT D &gt;18H</t>
  </si>
  <si>
    <t>PAT C &gt;18H</t>
  </si>
  <si>
    <t>PAT B 21H</t>
  </si>
  <si>
    <t>PAT A (KONTROL)</t>
  </si>
  <si>
    <t>Patra 05 18H</t>
  </si>
  <si>
    <t>Patra 04 &gt;18H</t>
  </si>
  <si>
    <t>Patra 02 24H</t>
  </si>
  <si>
    <t>Patra 01 kontrol</t>
  </si>
  <si>
    <t>Patra 03 21H</t>
  </si>
  <si>
    <t>Factor</t>
  </si>
  <si>
    <t>Sample Type</t>
  </si>
  <si>
    <t>A280 (Abs)</t>
  </si>
  <si>
    <t>A260 (Abs)</t>
  </si>
  <si>
    <t>Unit</t>
  </si>
  <si>
    <t>Nucleic Acid</t>
  </si>
  <si>
    <t>Date and Time</t>
  </si>
  <si>
    <t>User name</t>
  </si>
  <si>
    <t>Sample ID</t>
  </si>
  <si>
    <t>#</t>
  </si>
  <si>
    <r>
      <t>ng/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charset val="1"/>
        <scheme val="minor"/>
      </rPr>
      <t>l</t>
    </r>
  </si>
  <si>
    <t>KONTROL</t>
  </si>
  <si>
    <t>K11.1</t>
  </si>
  <si>
    <t>40 NORMAL</t>
  </si>
  <si>
    <t>K11.2</t>
  </si>
  <si>
    <t>41 NORMAL</t>
  </si>
  <si>
    <t>K11.3</t>
  </si>
  <si>
    <t>42 NORMAL</t>
  </si>
  <si>
    <t>K10.5</t>
  </si>
  <si>
    <t>43 NORMAL</t>
  </si>
  <si>
    <t>K6.5</t>
  </si>
  <si>
    <t>44 NORMAL</t>
  </si>
  <si>
    <t>CLP ONLY</t>
  </si>
  <si>
    <t>K5.2</t>
  </si>
  <si>
    <t>K2.4</t>
  </si>
  <si>
    <t>K10.4</t>
  </si>
  <si>
    <t>K11.4</t>
  </si>
  <si>
    <t>K10.1</t>
  </si>
  <si>
    <t>K8.1</t>
  </si>
  <si>
    <t>K9.4</t>
  </si>
  <si>
    <t>K10.2</t>
  </si>
  <si>
    <t>25 CLP NACL 10</t>
  </si>
  <si>
    <t>30 CLP NACL 10</t>
  </si>
  <si>
    <t>35 CLP NACL 10</t>
  </si>
  <si>
    <t>CLP NACL30</t>
  </si>
  <si>
    <t>K11.5</t>
  </si>
  <si>
    <t>37 NACL 30</t>
  </si>
  <si>
    <t>38 ALB 10</t>
  </si>
  <si>
    <t>PAT11</t>
  </si>
  <si>
    <t>PAT12</t>
  </si>
  <si>
    <t>PAT13</t>
  </si>
  <si>
    <t>PAT14</t>
  </si>
  <si>
    <t>PAT15</t>
  </si>
  <si>
    <t>PAT16</t>
  </si>
  <si>
    <t>PAT17</t>
  </si>
  <si>
    <t>PAT18</t>
  </si>
  <si>
    <t>PAT19</t>
  </si>
  <si>
    <t>PAT20</t>
  </si>
  <si>
    <t>PAT21</t>
  </si>
  <si>
    <t>PAT22</t>
  </si>
  <si>
    <t>PAT23</t>
  </si>
  <si>
    <t>PAT24</t>
  </si>
  <si>
    <t>PAT25</t>
  </si>
  <si>
    <t>TANGGAL PENGERJAAN RT-PCR</t>
  </si>
  <si>
    <t>CLP ALB 10</t>
  </si>
  <si>
    <t>K10.3</t>
  </si>
  <si>
    <t>-</t>
  </si>
  <si>
    <t>GAPDH</t>
  </si>
  <si>
    <t>1. Masukkan 40 ul sensifast</t>
  </si>
  <si>
    <t>2. Tambahkan 0,8 reverse transkriptase</t>
  </si>
  <si>
    <t>3. Tambahkan 1,6 Rnase inhibitor</t>
  </si>
  <si>
    <t>4. Tambahkan 31,2 DEPC</t>
  </si>
  <si>
    <t>5. Bagi ke dalam 2 microtube (36,8 ul)</t>
  </si>
  <si>
    <t>6. Tambahkan 1,6 ul masing2 primer</t>
  </si>
  <si>
    <t>7. Bagi ke dalam 2 microtube (20ul)</t>
  </si>
  <si>
    <t>8. Tambahkan 2 ul sampel</t>
  </si>
  <si>
    <t>No</t>
  </si>
  <si>
    <t>Sampel</t>
  </si>
  <si>
    <t>Kelompok</t>
  </si>
  <si>
    <t>Gene Target</t>
  </si>
  <si>
    <t>Housekeeping Gene</t>
  </si>
  <si>
    <t>∆Ct</t>
  </si>
  <si>
    <t>∆∆Ct</t>
  </si>
  <si>
    <t>Gene Expressions</t>
  </si>
  <si>
    <t>GFAP (Ct)</t>
  </si>
  <si>
    <t>GAPDH (Ct)</t>
  </si>
  <si>
    <t>I</t>
  </si>
  <si>
    <t>II</t>
  </si>
  <si>
    <t>Rata-Rata</t>
  </si>
  <si>
    <t>Syndecan (Ct)</t>
  </si>
  <si>
    <t>Rata-rata</t>
  </si>
  <si>
    <t>Keterangan pada microtube</t>
  </si>
  <si>
    <t>Kelompok CLP Only sebagai Kontrol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</si>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</sst>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14" fontId="0" fillId="0" borderId="0" xfId="0" applyNumberFormat="1"/>
    <xf numFmtId="2" fontId="0" fillId="0" borderId="0" xfId="0" applyNumberFormat="1"/>
    <xf numFmtId="0" fontId="5" fillId="0" borderId="0" xfId="0" applyFont="1"/>
    <xf numFmtId="0" fontId="0" fillId="0" borderId="0" xfId="0" quotePrefix="1"/>
    <xf numFmtId="0" fontId="3" fillId="0" borderId="0" xfId="1"/>
    <xf numFmtId="22" fontId="3" fillId="0" borderId="0" xfId="1" applyNumberFormat="1"/>
    <xf numFmtId="2" fontId="0" fillId="2" borderId="0" xfId="0" applyNumberFormat="1" applyFill="1"/>
    <xf numFmtId="2" fontId="0" fillId="0" borderId="0" xfId="0" applyNumberFormat="1" applyAlignment="1">
      <alignment horizontal="center"/>
    </xf>
    <xf numFmtId="0" fontId="2" fillId="0" borderId="0" xfId="1" applyFont="1"/>
    <xf numFmtId="16" fontId="3" fillId="0" borderId="0" xfId="1" applyNumberFormat="1"/>
    <xf numFmtId="2" fontId="3" fillId="0" borderId="0" xfId="1" applyNumberFormat="1"/>
    <xf numFmtId="0" fontId="0" fillId="3" borderId="0" xfId="0" applyFill="1"/>
    <xf numFmtId="14" fontId="0" fillId="3" borderId="0" xfId="0" applyNumberFormat="1" applyFill="1"/>
    <xf numFmtId="0" fontId="3" fillId="3" borderId="0" xfId="1" applyFill="1"/>
    <xf numFmtId="2" fontId="0" fillId="3" borderId="0" xfId="0" applyNumberFormat="1" applyFill="1"/>
    <xf numFmtId="0" fontId="0" fillId="4" borderId="0" xfId="0" applyFill="1"/>
    <xf numFmtId="0" fontId="0" fillId="0" borderId="1" xfId="0" applyBorder="1"/>
    <xf numFmtId="2" fontId="0" fillId="0" borderId="1" xfId="0" applyNumberFormat="1" applyBorder="1"/>
    <xf numFmtId="2" fontId="3" fillId="0" borderId="1" xfId="1" applyNumberFormat="1" applyBorder="1"/>
    <xf numFmtId="0" fontId="7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2" fontId="0" fillId="6" borderId="1" xfId="0" applyNumberFormat="1" applyFill="1" applyBorder="1"/>
    <xf numFmtId="49" fontId="0" fillId="6" borderId="1" xfId="0" applyNumberFormat="1" applyFill="1" applyBorder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6" borderId="2" xfId="0" applyNumberForma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2">
    <cellStyle name="Normal" xfId="0" builtinId="0"/>
    <cellStyle name="Normal 2" xfId="1" xr:uid="{27C7FD03-C8EF-4B3D-A9FA-4409274BEE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76200</xdr:colOff>
      <xdr:row>2</xdr:row>
      <xdr:rowOff>9525</xdr:rowOff>
    </xdr:from>
    <xdr:to>
      <xdr:col>25</xdr:col>
      <xdr:colOff>257176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84938D-2D0E-4518-80E3-6DEF9A5771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536" t="27040" r="36138" b="63422"/>
        <a:stretch/>
      </xdr:blipFill>
      <xdr:spPr>
        <a:xfrm>
          <a:off x="12715875" y="390525"/>
          <a:ext cx="4448176" cy="981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76200</xdr:colOff>
      <xdr:row>3</xdr:row>
      <xdr:rowOff>9525</xdr:rowOff>
    </xdr:from>
    <xdr:to>
      <xdr:col>25</xdr:col>
      <xdr:colOff>257176</xdr:colOff>
      <xdr:row>8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8718F8-9A59-4EF3-8D25-8E5EEC160C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536" t="27040" r="36138" b="63422"/>
        <a:stretch/>
      </xdr:blipFill>
      <xdr:spPr>
        <a:xfrm>
          <a:off x="11401425" y="390525"/>
          <a:ext cx="4448176" cy="981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276225</xdr:colOff>
      <xdr:row>1</xdr:row>
      <xdr:rowOff>95250</xdr:rowOff>
    </xdr:from>
    <xdr:to>
      <xdr:col>24</xdr:col>
      <xdr:colOff>457202</xdr:colOff>
      <xdr:row>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D70D12-63B6-455E-A449-CCC5B4B05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536" t="27040" r="36138" b="63422"/>
        <a:stretch/>
      </xdr:blipFill>
      <xdr:spPr>
        <a:xfrm>
          <a:off x="12525375" y="285750"/>
          <a:ext cx="4448176" cy="981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276225</xdr:colOff>
      <xdr:row>2</xdr:row>
      <xdr:rowOff>95250</xdr:rowOff>
    </xdr:from>
    <xdr:to>
      <xdr:col>24</xdr:col>
      <xdr:colOff>457201</xdr:colOff>
      <xdr:row>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1D6065-36A3-42FC-B00D-89F85F5ACF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536" t="27040" r="36138" b="63422"/>
        <a:stretch/>
      </xdr:blipFill>
      <xdr:spPr>
        <a:xfrm>
          <a:off x="12525375" y="285750"/>
          <a:ext cx="4448176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6836-9663-4868-A633-D942392B844D}">
  <dimension ref="B1:S36"/>
  <sheetViews>
    <sheetView workbookViewId="0">
      <selection activeCell="A21" sqref="A21:XFD25"/>
    </sheetView>
  </sheetViews>
  <sheetFormatPr defaultRowHeight="14.5" x14ac:dyDescent="0.35"/>
  <cols>
    <col min="2" max="2" width="16.54296875" customWidth="1"/>
    <col min="3" max="3" width="17.36328125" customWidth="1"/>
    <col min="4" max="4" width="21.08984375" customWidth="1"/>
    <col min="5" max="6" width="10.6328125" bestFit="1" customWidth="1"/>
    <col min="7" max="7" width="19.6328125" customWidth="1"/>
    <col min="8" max="8" width="13.36328125" customWidth="1"/>
    <col min="9" max="9" width="16.6328125" customWidth="1"/>
    <col min="10" max="12" width="16.6328125" hidden="1" customWidth="1"/>
    <col min="13" max="13" width="10.6328125" style="2" bestFit="1" customWidth="1"/>
    <col min="14" max="18" width="9.08984375" style="2"/>
    <col min="19" max="19" width="10.6328125" bestFit="1" customWidth="1"/>
  </cols>
  <sheetData>
    <row r="1" spans="2:19" x14ac:dyDescent="0.35">
      <c r="B1" t="s">
        <v>0</v>
      </c>
      <c r="C1" t="s">
        <v>1</v>
      </c>
      <c r="D1" t="s">
        <v>30</v>
      </c>
      <c r="E1" t="s">
        <v>15</v>
      </c>
      <c r="F1" t="s">
        <v>16</v>
      </c>
      <c r="G1" t="s">
        <v>17</v>
      </c>
      <c r="H1" t="s">
        <v>18</v>
      </c>
      <c r="I1" t="s">
        <v>29</v>
      </c>
      <c r="J1" t="s">
        <v>62</v>
      </c>
      <c r="K1" t="s">
        <v>63</v>
      </c>
      <c r="L1" t="s">
        <v>64</v>
      </c>
      <c r="M1" s="2" t="s">
        <v>144</v>
      </c>
      <c r="O1" s="2" t="s">
        <v>38</v>
      </c>
      <c r="Q1" s="2" t="s">
        <v>39</v>
      </c>
      <c r="S1" t="s">
        <v>140</v>
      </c>
    </row>
    <row r="2" spans="2:19" x14ac:dyDescent="0.35">
      <c r="B2" t="s">
        <v>2</v>
      </c>
      <c r="C2" t="s">
        <v>3</v>
      </c>
      <c r="D2" t="s">
        <v>32</v>
      </c>
      <c r="E2" s="1">
        <v>45691</v>
      </c>
      <c r="F2" s="1">
        <v>45693</v>
      </c>
      <c r="G2" s="1">
        <v>45702</v>
      </c>
      <c r="H2" t="s">
        <v>19</v>
      </c>
      <c r="I2" s="1">
        <v>45706</v>
      </c>
      <c r="J2">
        <v>279.60000000000002</v>
      </c>
      <c r="K2">
        <v>2.1</v>
      </c>
      <c r="L2">
        <v>1.99</v>
      </c>
      <c r="M2" s="2">
        <v>15.11</v>
      </c>
      <c r="N2" s="2">
        <v>15.07</v>
      </c>
      <c r="O2" s="2">
        <v>27.52</v>
      </c>
      <c r="P2" s="2">
        <v>29.06</v>
      </c>
      <c r="Q2" s="2">
        <v>18.010000000000002</v>
      </c>
      <c r="R2" s="2">
        <v>18.14</v>
      </c>
      <c r="S2" s="1">
        <v>45708</v>
      </c>
    </row>
    <row r="3" spans="2:19" x14ac:dyDescent="0.35">
      <c r="C3" t="s">
        <v>4</v>
      </c>
      <c r="D3" t="s">
        <v>33</v>
      </c>
      <c r="E3" s="1">
        <v>45691</v>
      </c>
      <c r="F3" s="1">
        <v>45693</v>
      </c>
      <c r="G3" s="1">
        <v>45702</v>
      </c>
      <c r="H3" t="s">
        <v>20</v>
      </c>
      <c r="I3" s="1">
        <v>45706</v>
      </c>
      <c r="J3">
        <v>346.9</v>
      </c>
      <c r="K3">
        <v>2.09</v>
      </c>
      <c r="L3">
        <v>2.06</v>
      </c>
      <c r="M3" s="2">
        <v>18.82</v>
      </c>
      <c r="N3" s="2">
        <v>18.23</v>
      </c>
      <c r="O3" s="2">
        <v>31.98</v>
      </c>
      <c r="P3" s="2">
        <v>32.299999999999997</v>
      </c>
      <c r="Q3" s="2">
        <v>20.46</v>
      </c>
      <c r="R3" s="2">
        <v>20.190000000000001</v>
      </c>
      <c r="S3" s="1">
        <v>45708</v>
      </c>
    </row>
    <row r="4" spans="2:19" x14ac:dyDescent="0.35">
      <c r="C4" t="s">
        <v>5</v>
      </c>
      <c r="D4" t="s">
        <v>34</v>
      </c>
      <c r="E4" s="1">
        <v>45691</v>
      </c>
      <c r="F4" s="1">
        <v>45693</v>
      </c>
      <c r="G4" s="1">
        <v>45702</v>
      </c>
      <c r="H4" t="s">
        <v>21</v>
      </c>
      <c r="I4" s="1">
        <v>45706</v>
      </c>
      <c r="J4">
        <v>278.7</v>
      </c>
      <c r="K4">
        <v>2.11</v>
      </c>
      <c r="L4">
        <v>2.13</v>
      </c>
      <c r="M4" s="2">
        <v>16.559999999999999</v>
      </c>
      <c r="N4" s="2">
        <v>17.75</v>
      </c>
      <c r="O4" s="2">
        <v>34.29</v>
      </c>
      <c r="P4" s="2">
        <v>36.6</v>
      </c>
      <c r="Q4" s="2">
        <v>19.75</v>
      </c>
      <c r="R4" s="2">
        <v>19.71</v>
      </c>
      <c r="S4" s="1">
        <v>45708</v>
      </c>
    </row>
    <row r="5" spans="2:19" x14ac:dyDescent="0.35">
      <c r="C5" t="s">
        <v>6</v>
      </c>
      <c r="D5" t="s">
        <v>35</v>
      </c>
      <c r="E5" s="1">
        <v>45691</v>
      </c>
      <c r="F5" s="1">
        <v>45693</v>
      </c>
      <c r="G5" s="1">
        <v>45702</v>
      </c>
      <c r="H5" t="s">
        <v>22</v>
      </c>
      <c r="I5" s="1">
        <v>45706</v>
      </c>
      <c r="J5">
        <v>237.8</v>
      </c>
      <c r="K5">
        <v>2.12</v>
      </c>
      <c r="L5">
        <v>2.0499999999999998</v>
      </c>
      <c r="M5" s="2">
        <v>16.13</v>
      </c>
      <c r="N5" s="2">
        <v>15.98</v>
      </c>
      <c r="O5" s="2">
        <v>32.4</v>
      </c>
      <c r="P5" s="2">
        <v>33.340000000000003</v>
      </c>
      <c r="Q5" s="2">
        <v>19.18</v>
      </c>
      <c r="R5" s="2">
        <v>19.64</v>
      </c>
      <c r="S5" s="1">
        <v>45709</v>
      </c>
    </row>
    <row r="6" spans="2:19" x14ac:dyDescent="0.35">
      <c r="B6" t="s">
        <v>141</v>
      </c>
      <c r="C6" t="s">
        <v>8</v>
      </c>
      <c r="D6" t="s">
        <v>31</v>
      </c>
      <c r="E6" s="1">
        <v>45693</v>
      </c>
      <c r="F6" s="1">
        <v>45695</v>
      </c>
      <c r="G6" s="1">
        <v>45702</v>
      </c>
      <c r="H6" t="s">
        <v>23</v>
      </c>
      <c r="I6" s="1">
        <v>45706</v>
      </c>
      <c r="J6">
        <v>211.1</v>
      </c>
      <c r="K6">
        <v>2.08</v>
      </c>
      <c r="L6">
        <v>1.92</v>
      </c>
      <c r="M6" s="2">
        <v>18.03</v>
      </c>
      <c r="N6" s="2">
        <v>16.78</v>
      </c>
      <c r="O6" s="2">
        <v>34.049999999999997</v>
      </c>
      <c r="P6" s="2">
        <v>35.049999999999997</v>
      </c>
      <c r="Q6" s="2">
        <v>19.93</v>
      </c>
      <c r="R6" s="2">
        <v>19.309999999999999</v>
      </c>
      <c r="S6" s="1">
        <v>45709</v>
      </c>
    </row>
    <row r="7" spans="2:19" x14ac:dyDescent="0.35">
      <c r="C7" t="s">
        <v>9</v>
      </c>
      <c r="D7" t="s">
        <v>31</v>
      </c>
      <c r="E7" s="1">
        <v>45693</v>
      </c>
      <c r="F7" s="1">
        <v>45695</v>
      </c>
      <c r="G7" s="1">
        <v>45702</v>
      </c>
      <c r="H7" s="16" t="s">
        <v>24</v>
      </c>
      <c r="I7" s="1">
        <v>45706</v>
      </c>
      <c r="J7">
        <v>224.3</v>
      </c>
      <c r="K7">
        <v>2.09</v>
      </c>
      <c r="L7">
        <v>2.06</v>
      </c>
      <c r="M7" s="2">
        <v>20.03</v>
      </c>
      <c r="N7" s="2">
        <v>19.829999999999998</v>
      </c>
      <c r="O7" s="2">
        <v>35.21</v>
      </c>
      <c r="P7" s="7"/>
      <c r="Q7" s="2">
        <v>21.66</v>
      </c>
      <c r="R7" s="2">
        <v>21.2</v>
      </c>
      <c r="S7" s="1">
        <v>45709</v>
      </c>
    </row>
    <row r="8" spans="2:19" x14ac:dyDescent="0.35">
      <c r="C8" t="s">
        <v>10</v>
      </c>
      <c r="D8" t="s">
        <v>31</v>
      </c>
      <c r="E8" s="1">
        <v>45693</v>
      </c>
      <c r="F8" s="1">
        <v>45695</v>
      </c>
      <c r="G8" s="1">
        <v>45702</v>
      </c>
      <c r="H8" t="s">
        <v>25</v>
      </c>
      <c r="I8" s="1">
        <v>45706</v>
      </c>
      <c r="J8">
        <v>198.6</v>
      </c>
      <c r="K8">
        <v>2.11</v>
      </c>
      <c r="L8">
        <v>2.14</v>
      </c>
      <c r="M8" s="2">
        <v>16.23</v>
      </c>
      <c r="N8" s="2">
        <v>16.84</v>
      </c>
      <c r="O8" s="2">
        <v>36</v>
      </c>
      <c r="P8" s="2">
        <v>34.68</v>
      </c>
      <c r="Q8" s="2">
        <v>20</v>
      </c>
      <c r="R8" s="2">
        <v>20.16</v>
      </c>
      <c r="S8" s="1">
        <v>45709</v>
      </c>
    </row>
    <row r="9" spans="2:19" x14ac:dyDescent="0.35">
      <c r="C9" t="s">
        <v>11</v>
      </c>
      <c r="D9" t="s">
        <v>31</v>
      </c>
      <c r="E9" s="1">
        <v>45693</v>
      </c>
      <c r="F9" s="1">
        <v>45695</v>
      </c>
      <c r="G9" s="1">
        <v>45702</v>
      </c>
      <c r="H9" t="s">
        <v>26</v>
      </c>
      <c r="I9" s="1">
        <v>45706</v>
      </c>
      <c r="J9">
        <v>72.2</v>
      </c>
      <c r="K9">
        <v>2.14</v>
      </c>
      <c r="L9">
        <v>2.16</v>
      </c>
      <c r="M9" s="2">
        <v>16.82</v>
      </c>
      <c r="N9" s="2">
        <v>16.82</v>
      </c>
      <c r="O9" s="2">
        <v>34.89</v>
      </c>
      <c r="P9" s="2">
        <v>36.31</v>
      </c>
      <c r="Q9" s="2">
        <v>18.03</v>
      </c>
      <c r="R9" s="2">
        <v>18.13</v>
      </c>
      <c r="S9" s="1">
        <v>45709</v>
      </c>
    </row>
    <row r="10" spans="2:19" x14ac:dyDescent="0.35">
      <c r="B10" t="s">
        <v>12</v>
      </c>
      <c r="C10" t="s">
        <v>13</v>
      </c>
      <c r="D10" t="s">
        <v>36</v>
      </c>
      <c r="E10" s="1">
        <v>45698</v>
      </c>
      <c r="F10" s="1">
        <v>45700</v>
      </c>
      <c r="G10" s="1">
        <v>45702</v>
      </c>
      <c r="H10" t="s">
        <v>27</v>
      </c>
      <c r="I10" s="1">
        <v>45706</v>
      </c>
      <c r="J10">
        <v>140.69999999999999</v>
      </c>
      <c r="K10">
        <v>2.13</v>
      </c>
      <c r="L10">
        <v>2.2200000000000002</v>
      </c>
      <c r="M10" s="2">
        <v>16.27</v>
      </c>
      <c r="N10" s="2">
        <v>16.829999999999998</v>
      </c>
      <c r="O10" s="2">
        <v>32.43</v>
      </c>
      <c r="P10" s="2">
        <v>33.25</v>
      </c>
      <c r="Q10" s="2">
        <v>19.8</v>
      </c>
      <c r="R10" s="2">
        <v>20.010000000000002</v>
      </c>
      <c r="S10" s="1">
        <v>45709</v>
      </c>
    </row>
    <row r="11" spans="2:19" x14ac:dyDescent="0.35">
      <c r="B11" t="s">
        <v>12</v>
      </c>
      <c r="C11" t="s">
        <v>14</v>
      </c>
      <c r="D11" t="s">
        <v>37</v>
      </c>
      <c r="E11" s="1">
        <v>45700</v>
      </c>
      <c r="F11" s="1">
        <v>45702</v>
      </c>
      <c r="G11" s="1">
        <v>45702</v>
      </c>
      <c r="H11" t="s">
        <v>28</v>
      </c>
      <c r="I11" s="1">
        <v>45706</v>
      </c>
      <c r="J11">
        <v>260.2</v>
      </c>
      <c r="K11">
        <v>2.12</v>
      </c>
      <c r="L11">
        <v>2.0499999999999998</v>
      </c>
      <c r="M11" s="2">
        <v>16.829999999999998</v>
      </c>
      <c r="N11" s="2">
        <v>17.23</v>
      </c>
      <c r="O11" s="2">
        <v>36.03</v>
      </c>
      <c r="P11" s="2">
        <v>34.35</v>
      </c>
      <c r="Q11" s="2">
        <v>20.309999999999999</v>
      </c>
      <c r="R11" s="2">
        <v>20.68</v>
      </c>
      <c r="S11" s="1">
        <v>45709</v>
      </c>
    </row>
    <row r="12" spans="2:19" x14ac:dyDescent="0.35">
      <c r="E12" s="1"/>
      <c r="F12" s="1"/>
      <c r="G12" s="1"/>
      <c r="I12" s="1"/>
      <c r="M12" s="8"/>
      <c r="N12" s="8"/>
      <c r="O12" s="8"/>
      <c r="P12" s="8"/>
      <c r="Q12" s="8"/>
      <c r="R12" s="8"/>
      <c r="S12" s="1"/>
    </row>
    <row r="13" spans="2:19" s="12" customFormat="1" x14ac:dyDescent="0.35">
      <c r="B13" s="12" t="s">
        <v>7</v>
      </c>
      <c r="C13" s="12" t="s">
        <v>115</v>
      </c>
      <c r="D13" s="12" t="s">
        <v>118</v>
      </c>
      <c r="E13" s="13">
        <v>45714</v>
      </c>
      <c r="F13" s="13">
        <v>45716</v>
      </c>
      <c r="G13" s="13">
        <v>45733</v>
      </c>
      <c r="H13" s="12" t="s">
        <v>125</v>
      </c>
      <c r="I13" s="13">
        <v>45734</v>
      </c>
      <c r="J13" s="14">
        <v>23</v>
      </c>
      <c r="K13" s="14">
        <v>2.09</v>
      </c>
      <c r="L13" s="14">
        <v>1.38</v>
      </c>
      <c r="M13" s="15">
        <v>22.69</v>
      </c>
      <c r="N13" s="15">
        <v>22.33</v>
      </c>
      <c r="O13" s="15"/>
      <c r="P13" s="15"/>
      <c r="Q13" s="15">
        <v>24.69</v>
      </c>
      <c r="R13" s="15">
        <v>24.24</v>
      </c>
      <c r="S13" s="13">
        <v>45735</v>
      </c>
    </row>
    <row r="14" spans="2:19" s="12" customFormat="1" x14ac:dyDescent="0.35">
      <c r="C14" s="12" t="s">
        <v>116</v>
      </c>
      <c r="D14" s="12" t="s">
        <v>119</v>
      </c>
      <c r="E14" s="13">
        <v>45720</v>
      </c>
      <c r="F14" s="13">
        <v>45722</v>
      </c>
      <c r="G14" s="13">
        <v>45733</v>
      </c>
      <c r="H14" s="12" t="s">
        <v>126</v>
      </c>
      <c r="I14" s="13">
        <v>45734</v>
      </c>
      <c r="J14" s="14">
        <v>25.1</v>
      </c>
      <c r="K14" s="14">
        <v>2.04</v>
      </c>
      <c r="L14" s="14">
        <v>1.1499999999999999</v>
      </c>
      <c r="M14" s="15">
        <v>24.26</v>
      </c>
      <c r="N14" s="15">
        <v>24.76</v>
      </c>
      <c r="O14" s="15"/>
      <c r="P14" s="15"/>
      <c r="Q14" s="15">
        <v>27.2</v>
      </c>
      <c r="R14" s="15">
        <v>27.34</v>
      </c>
      <c r="S14" s="13">
        <v>45735</v>
      </c>
    </row>
    <row r="16" spans="2:19" x14ac:dyDescent="0.35">
      <c r="B16" t="s">
        <v>7</v>
      </c>
      <c r="C16" t="s">
        <v>115</v>
      </c>
      <c r="D16" t="s">
        <v>118</v>
      </c>
      <c r="E16" s="1">
        <v>45714</v>
      </c>
      <c r="F16" s="1">
        <v>45716</v>
      </c>
      <c r="G16" s="1">
        <v>45733</v>
      </c>
      <c r="H16" t="s">
        <v>125</v>
      </c>
      <c r="I16" s="1">
        <v>45742</v>
      </c>
      <c r="M16" s="2">
        <v>18.649999999999999</v>
      </c>
      <c r="N16" s="2">
        <v>18.8</v>
      </c>
      <c r="O16" s="2">
        <v>37.86</v>
      </c>
      <c r="P16" s="2">
        <v>36.659999999999997</v>
      </c>
      <c r="Q16" s="2">
        <v>20.99</v>
      </c>
      <c r="R16" s="2">
        <v>23.1</v>
      </c>
      <c r="S16" s="1">
        <v>45742</v>
      </c>
    </row>
    <row r="17" spans="2:19" x14ac:dyDescent="0.35">
      <c r="C17" t="s">
        <v>116</v>
      </c>
      <c r="D17" t="s">
        <v>119</v>
      </c>
      <c r="E17" s="1">
        <v>45720</v>
      </c>
      <c r="F17" s="1">
        <v>45722</v>
      </c>
      <c r="G17" s="1">
        <v>45733</v>
      </c>
      <c r="H17" t="s">
        <v>126</v>
      </c>
      <c r="I17" s="1">
        <v>45742</v>
      </c>
      <c r="M17" s="2">
        <v>18</v>
      </c>
      <c r="N17" s="2">
        <v>18.399999999999999</v>
      </c>
      <c r="O17" s="2">
        <v>33.97</v>
      </c>
      <c r="P17" s="2">
        <v>35.020000000000003</v>
      </c>
      <c r="Q17" s="2">
        <v>21.19</v>
      </c>
      <c r="R17" s="2">
        <v>21.14</v>
      </c>
      <c r="S17" s="1">
        <v>45742</v>
      </c>
    </row>
    <row r="18" spans="2:19" x14ac:dyDescent="0.35">
      <c r="C18" t="s">
        <v>117</v>
      </c>
      <c r="D18" t="s">
        <v>120</v>
      </c>
      <c r="E18" s="1">
        <v>45727</v>
      </c>
      <c r="F18" s="1">
        <v>45729</v>
      </c>
      <c r="G18" s="1">
        <v>45733</v>
      </c>
      <c r="H18" t="s">
        <v>127</v>
      </c>
      <c r="I18" s="1">
        <v>45742</v>
      </c>
      <c r="J18" s="5"/>
      <c r="K18" s="10"/>
      <c r="M18" s="11">
        <v>20.010000000000002</v>
      </c>
      <c r="N18" s="11">
        <v>20.3</v>
      </c>
      <c r="O18" s="11">
        <v>33.39</v>
      </c>
      <c r="P18" s="2">
        <v>34.090000000000003</v>
      </c>
      <c r="Q18" s="2">
        <v>20.28</v>
      </c>
      <c r="R18" s="2">
        <v>20.309999999999999</v>
      </c>
      <c r="S18" s="1">
        <v>45742</v>
      </c>
    </row>
    <row r="19" spans="2:19" x14ac:dyDescent="0.35">
      <c r="B19" t="s">
        <v>121</v>
      </c>
      <c r="C19" t="s">
        <v>122</v>
      </c>
      <c r="D19" t="s">
        <v>123</v>
      </c>
      <c r="E19" s="1">
        <v>45727</v>
      </c>
      <c r="F19" s="1">
        <v>45729</v>
      </c>
      <c r="G19" s="1">
        <v>45733</v>
      </c>
      <c r="H19" t="s">
        <v>128</v>
      </c>
      <c r="I19" s="1">
        <v>45742</v>
      </c>
      <c r="J19" s="5"/>
      <c r="K19" s="10"/>
      <c r="M19" s="11">
        <v>17.100000000000001</v>
      </c>
      <c r="N19" s="11">
        <v>17.72</v>
      </c>
      <c r="O19" s="11">
        <v>32.65</v>
      </c>
      <c r="P19" s="2">
        <v>32.81</v>
      </c>
      <c r="Q19" s="2">
        <v>20.56</v>
      </c>
      <c r="R19" s="2">
        <v>20.59</v>
      </c>
      <c r="S19" s="1">
        <v>45743</v>
      </c>
    </row>
    <row r="20" spans="2:19" x14ac:dyDescent="0.35">
      <c r="B20" t="s">
        <v>141</v>
      </c>
      <c r="C20" t="s">
        <v>142</v>
      </c>
      <c r="D20" t="s">
        <v>124</v>
      </c>
      <c r="E20" s="1">
        <v>45727</v>
      </c>
      <c r="F20" s="1">
        <v>45729</v>
      </c>
      <c r="G20" s="1">
        <v>45733</v>
      </c>
      <c r="H20" s="16" t="s">
        <v>129</v>
      </c>
      <c r="I20" s="1">
        <v>45742</v>
      </c>
      <c r="M20" s="2">
        <v>17.600000000000001</v>
      </c>
      <c r="N20" s="2">
        <v>17.78</v>
      </c>
      <c r="O20" s="7"/>
      <c r="P20" s="2">
        <v>35.26</v>
      </c>
      <c r="Q20" s="2">
        <v>20.86</v>
      </c>
      <c r="R20" s="2">
        <v>21.07</v>
      </c>
      <c r="S20" s="1">
        <v>45743</v>
      </c>
    </row>
    <row r="21" spans="2:19" x14ac:dyDescent="0.35">
      <c r="B21" t="s">
        <v>109</v>
      </c>
      <c r="C21" t="s">
        <v>110</v>
      </c>
      <c r="D21">
        <v>30</v>
      </c>
      <c r="E21" s="1">
        <v>45720</v>
      </c>
      <c r="F21" s="1">
        <v>45722</v>
      </c>
      <c r="G21" s="1">
        <v>45733</v>
      </c>
      <c r="H21" t="s">
        <v>130</v>
      </c>
      <c r="I21" s="1">
        <v>45742</v>
      </c>
      <c r="M21" s="2">
        <v>19.329999999999998</v>
      </c>
      <c r="N21" s="2">
        <v>20.07</v>
      </c>
      <c r="O21" s="2">
        <v>38.299999999999997</v>
      </c>
      <c r="P21" s="2">
        <v>36.270000000000003</v>
      </c>
      <c r="Q21" s="2">
        <v>27.18</v>
      </c>
      <c r="R21" s="2">
        <v>27.09</v>
      </c>
      <c r="S21" s="1">
        <v>45743</v>
      </c>
    </row>
    <row r="22" spans="2:19" x14ac:dyDescent="0.35">
      <c r="C22" t="s">
        <v>111</v>
      </c>
      <c r="D22">
        <v>33</v>
      </c>
      <c r="E22" s="1">
        <v>45721</v>
      </c>
      <c r="F22" s="1">
        <v>45723</v>
      </c>
      <c r="G22" s="1">
        <v>45733</v>
      </c>
      <c r="H22" t="s">
        <v>131</v>
      </c>
      <c r="I22" s="1">
        <v>45742</v>
      </c>
      <c r="M22" s="2">
        <v>16.170000000000002</v>
      </c>
      <c r="N22" s="2">
        <v>16.829999999999998</v>
      </c>
      <c r="O22" s="2">
        <v>30.2</v>
      </c>
      <c r="P22" s="2">
        <v>31.17</v>
      </c>
      <c r="Q22" s="2">
        <v>19.63</v>
      </c>
      <c r="R22" s="2">
        <v>19.38</v>
      </c>
      <c r="S22" s="1">
        <v>45743</v>
      </c>
    </row>
    <row r="23" spans="2:19" x14ac:dyDescent="0.35">
      <c r="C23" t="s">
        <v>112</v>
      </c>
      <c r="D23">
        <v>34</v>
      </c>
      <c r="E23" s="1">
        <v>45721</v>
      </c>
      <c r="F23" s="1">
        <v>45723</v>
      </c>
      <c r="G23" s="1">
        <v>45733</v>
      </c>
      <c r="H23" t="s">
        <v>132</v>
      </c>
      <c r="I23" s="1">
        <v>45742</v>
      </c>
      <c r="M23" s="2">
        <v>17.16</v>
      </c>
      <c r="N23" s="2">
        <v>17.28</v>
      </c>
      <c r="O23" s="2">
        <v>34.01</v>
      </c>
      <c r="P23" s="2">
        <v>34.11</v>
      </c>
      <c r="Q23" s="2">
        <v>19.41</v>
      </c>
      <c r="R23" s="2">
        <v>19.41</v>
      </c>
      <c r="S23" s="1">
        <v>45743</v>
      </c>
    </row>
    <row r="24" spans="2:19" x14ac:dyDescent="0.35">
      <c r="C24" t="s">
        <v>113</v>
      </c>
      <c r="D24">
        <v>36</v>
      </c>
      <c r="E24" s="1">
        <v>45727</v>
      </c>
      <c r="F24" s="1">
        <v>45729</v>
      </c>
      <c r="G24" s="1">
        <v>45733</v>
      </c>
      <c r="H24" t="s">
        <v>133</v>
      </c>
      <c r="I24" s="1">
        <v>45742</v>
      </c>
      <c r="M24" s="2">
        <v>16.32</v>
      </c>
      <c r="N24" s="2">
        <v>17</v>
      </c>
      <c r="O24" s="2">
        <v>30.2</v>
      </c>
      <c r="P24" s="2">
        <v>31.03</v>
      </c>
      <c r="Q24" s="2">
        <v>19.850000000000001</v>
      </c>
      <c r="R24" s="2">
        <v>20.350000000000001</v>
      </c>
      <c r="S24" s="1">
        <v>45743</v>
      </c>
    </row>
    <row r="25" spans="2:19" x14ac:dyDescent="0.35">
      <c r="C25" t="s">
        <v>114</v>
      </c>
      <c r="D25">
        <v>39</v>
      </c>
      <c r="E25" s="1">
        <v>45728</v>
      </c>
      <c r="F25" s="1">
        <v>45730</v>
      </c>
      <c r="G25" s="1">
        <v>45733</v>
      </c>
      <c r="H25" t="s">
        <v>134</v>
      </c>
      <c r="I25" s="1">
        <v>45742</v>
      </c>
      <c r="M25" s="2">
        <v>17.010000000000002</v>
      </c>
      <c r="N25" s="2">
        <v>17.39</v>
      </c>
      <c r="O25" s="2">
        <v>35.369999999999997</v>
      </c>
      <c r="P25" s="2">
        <v>35.39</v>
      </c>
      <c r="Q25" s="2">
        <v>22.11</v>
      </c>
      <c r="R25" s="2">
        <v>22.03</v>
      </c>
      <c r="S25" s="1">
        <v>45743</v>
      </c>
    </row>
    <row r="26" spans="2:19" x14ac:dyDescent="0.35">
      <c r="B26" t="s">
        <v>98</v>
      </c>
      <c r="C26" t="s">
        <v>99</v>
      </c>
      <c r="D26" t="s">
        <v>100</v>
      </c>
      <c r="E26" t="s">
        <v>143</v>
      </c>
      <c r="F26" s="1">
        <v>45730</v>
      </c>
      <c r="G26" s="1">
        <v>45733</v>
      </c>
      <c r="H26" t="s">
        <v>135</v>
      </c>
      <c r="I26" s="1">
        <v>45742</v>
      </c>
      <c r="M26" s="2">
        <v>17.760000000000002</v>
      </c>
      <c r="N26" s="2">
        <v>17.91</v>
      </c>
      <c r="O26" s="2">
        <v>34.42</v>
      </c>
      <c r="P26" s="2">
        <v>34.9</v>
      </c>
      <c r="Q26" s="2">
        <v>20.97</v>
      </c>
      <c r="R26" s="2">
        <v>21.17</v>
      </c>
      <c r="S26" s="1">
        <v>45743</v>
      </c>
    </row>
    <row r="27" spans="2:19" x14ac:dyDescent="0.35">
      <c r="C27" t="s">
        <v>101</v>
      </c>
      <c r="D27" t="s">
        <v>102</v>
      </c>
      <c r="E27" t="s">
        <v>143</v>
      </c>
      <c r="F27" s="1">
        <v>45730</v>
      </c>
      <c r="G27" s="1">
        <v>45733</v>
      </c>
      <c r="H27" t="s">
        <v>136</v>
      </c>
      <c r="I27" s="1">
        <v>45742</v>
      </c>
      <c r="M27" s="2">
        <v>16.010000000000002</v>
      </c>
      <c r="N27" s="2">
        <v>16.36</v>
      </c>
      <c r="O27" s="2">
        <v>32.36</v>
      </c>
      <c r="P27" s="2">
        <v>33.11</v>
      </c>
      <c r="Q27" s="2">
        <v>20.239999999999998</v>
      </c>
      <c r="R27" s="2">
        <v>20.25</v>
      </c>
      <c r="S27" s="1">
        <v>45743</v>
      </c>
    </row>
    <row r="28" spans="2:19" x14ac:dyDescent="0.35">
      <c r="C28" t="s">
        <v>103</v>
      </c>
      <c r="D28" t="s">
        <v>104</v>
      </c>
      <c r="E28" t="s">
        <v>143</v>
      </c>
      <c r="F28" s="1">
        <v>45730</v>
      </c>
      <c r="G28" s="1">
        <v>45733</v>
      </c>
      <c r="H28" t="s">
        <v>137</v>
      </c>
      <c r="I28" s="1">
        <v>45742</v>
      </c>
      <c r="M28" s="2">
        <v>16.899999999999999</v>
      </c>
      <c r="N28" s="2">
        <v>17.04</v>
      </c>
      <c r="O28" s="2">
        <v>31.37</v>
      </c>
      <c r="P28" s="2">
        <v>32.1</v>
      </c>
      <c r="Q28" s="2">
        <v>19.149999999999999</v>
      </c>
      <c r="R28" s="2">
        <v>19.23</v>
      </c>
      <c r="S28" s="1">
        <v>45743</v>
      </c>
    </row>
    <row r="29" spans="2:19" x14ac:dyDescent="0.35">
      <c r="C29" t="s">
        <v>105</v>
      </c>
      <c r="D29" t="s">
        <v>106</v>
      </c>
      <c r="E29" t="s">
        <v>143</v>
      </c>
      <c r="F29" s="1">
        <v>45730</v>
      </c>
      <c r="G29" s="1">
        <v>45733</v>
      </c>
      <c r="H29" t="s">
        <v>138</v>
      </c>
      <c r="I29" s="1">
        <v>45742</v>
      </c>
      <c r="M29" s="2">
        <v>17.66</v>
      </c>
      <c r="N29" s="2">
        <v>17.78</v>
      </c>
      <c r="O29" s="2">
        <v>34.72</v>
      </c>
      <c r="P29" s="2">
        <v>34.29</v>
      </c>
      <c r="Q29" s="2">
        <v>19.98</v>
      </c>
      <c r="R29" s="2">
        <v>20.440000000000001</v>
      </c>
      <c r="S29" s="1">
        <v>45743</v>
      </c>
    </row>
    <row r="30" spans="2:19" x14ac:dyDescent="0.35">
      <c r="C30" t="s">
        <v>107</v>
      </c>
      <c r="D30" t="s">
        <v>108</v>
      </c>
      <c r="E30" t="s">
        <v>143</v>
      </c>
      <c r="F30" s="1">
        <v>45730</v>
      </c>
      <c r="G30" s="1">
        <v>45733</v>
      </c>
      <c r="H30" t="s">
        <v>139</v>
      </c>
      <c r="I30" s="1">
        <v>45742</v>
      </c>
      <c r="M30" s="2">
        <v>17.21</v>
      </c>
      <c r="N30" s="2">
        <v>17.88</v>
      </c>
      <c r="O30" s="2">
        <v>34.909999999999997</v>
      </c>
      <c r="P30" s="2">
        <v>36.67</v>
      </c>
      <c r="Q30" s="2">
        <v>21</v>
      </c>
      <c r="R30" s="2">
        <v>21.01</v>
      </c>
      <c r="S30" s="1">
        <v>45743</v>
      </c>
    </row>
    <row r="32" spans="2:19" x14ac:dyDescent="0.35">
      <c r="H32" t="s">
        <v>24</v>
      </c>
      <c r="M32" s="2">
        <v>19.96</v>
      </c>
      <c r="N32" s="2">
        <v>19.899999999999999</v>
      </c>
      <c r="O32" s="2">
        <v>30.7</v>
      </c>
      <c r="P32" s="2">
        <v>32.03</v>
      </c>
      <c r="S32" s="1">
        <v>45755</v>
      </c>
    </row>
    <row r="33" spans="8:19" x14ac:dyDescent="0.35">
      <c r="H33" t="s">
        <v>129</v>
      </c>
      <c r="M33" s="2">
        <v>18.399999999999999</v>
      </c>
      <c r="N33" s="2">
        <v>18.36</v>
      </c>
      <c r="O33" s="2">
        <v>34.380000000000003</v>
      </c>
      <c r="P33" s="2">
        <v>34.43</v>
      </c>
      <c r="S33" s="1">
        <v>45755</v>
      </c>
    </row>
    <row r="35" spans="8:19" x14ac:dyDescent="0.35">
      <c r="H35" t="s">
        <v>24</v>
      </c>
      <c r="M35" s="2">
        <v>20.03</v>
      </c>
      <c r="N35" s="2">
        <v>19.829999999999998</v>
      </c>
      <c r="O35" s="2">
        <v>35.21</v>
      </c>
      <c r="P35" s="7"/>
      <c r="Q35" s="2">
        <v>21.66</v>
      </c>
      <c r="R35" s="2">
        <v>21.2</v>
      </c>
      <c r="S35" s="1">
        <v>45709</v>
      </c>
    </row>
    <row r="36" spans="8:19" x14ac:dyDescent="0.35">
      <c r="H36" t="s">
        <v>129</v>
      </c>
      <c r="M36" s="2">
        <v>17.600000000000001</v>
      </c>
      <c r="N36" s="2">
        <v>17.78</v>
      </c>
      <c r="O36" s="7"/>
      <c r="P36" s="2">
        <v>35.26</v>
      </c>
      <c r="Q36" s="2">
        <v>20.86</v>
      </c>
      <c r="R36" s="2">
        <v>21.07</v>
      </c>
      <c r="S36" s="1">
        <v>45743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AB14-0020-4CCE-98FE-879B25922FFB}">
  <dimension ref="A1:K33"/>
  <sheetViews>
    <sheetView topLeftCell="A13" zoomScale="180" zoomScaleNormal="180" workbookViewId="0">
      <selection activeCell="F32" sqref="F32"/>
    </sheetView>
  </sheetViews>
  <sheetFormatPr defaultRowHeight="14.5" x14ac:dyDescent="0.35"/>
  <cols>
    <col min="1" max="1" width="24" customWidth="1"/>
    <col min="2" max="2" width="6.6328125" customWidth="1"/>
  </cols>
  <sheetData>
    <row r="1" spans="1:11" x14ac:dyDescent="0.35">
      <c r="A1" t="s">
        <v>40</v>
      </c>
      <c r="B1">
        <v>10</v>
      </c>
      <c r="C1">
        <v>3</v>
      </c>
      <c r="D1">
        <f>B1*$C$1</f>
        <v>30</v>
      </c>
      <c r="F1">
        <v>3</v>
      </c>
      <c r="G1">
        <f>D1*$F$1</f>
        <v>90</v>
      </c>
      <c r="I1" t="s">
        <v>41</v>
      </c>
    </row>
    <row r="2" spans="1:11" x14ac:dyDescent="0.35">
      <c r="A2" t="s">
        <v>42</v>
      </c>
      <c r="B2">
        <v>0.8</v>
      </c>
      <c r="C2" t="s">
        <v>43</v>
      </c>
      <c r="D2">
        <f t="shared" ref="D2:D7" si="0">B2*$C$1</f>
        <v>2.4000000000000004</v>
      </c>
      <c r="F2" t="s">
        <v>44</v>
      </c>
      <c r="G2">
        <f t="shared" ref="G2:G7" si="1">D2*$F$1</f>
        <v>7.2000000000000011</v>
      </c>
      <c r="I2" t="s">
        <v>45</v>
      </c>
    </row>
    <row r="3" spans="1:11" x14ac:dyDescent="0.35">
      <c r="B3">
        <v>0.8</v>
      </c>
      <c r="D3">
        <f t="shared" si="0"/>
        <v>2.4000000000000004</v>
      </c>
      <c r="G3">
        <f t="shared" si="1"/>
        <v>7.2000000000000011</v>
      </c>
      <c r="I3" t="s">
        <v>46</v>
      </c>
    </row>
    <row r="4" spans="1:11" x14ac:dyDescent="0.35">
      <c r="A4" s="3" t="s">
        <v>47</v>
      </c>
      <c r="B4" s="3">
        <v>2</v>
      </c>
      <c r="C4" s="3"/>
      <c r="D4" s="3">
        <f t="shared" si="0"/>
        <v>6</v>
      </c>
      <c r="E4" t="s">
        <v>48</v>
      </c>
      <c r="G4">
        <f t="shared" si="1"/>
        <v>18</v>
      </c>
      <c r="I4" t="s">
        <v>49</v>
      </c>
    </row>
    <row r="5" spans="1:11" x14ac:dyDescent="0.35">
      <c r="A5" t="s">
        <v>50</v>
      </c>
      <c r="B5">
        <v>0.2</v>
      </c>
      <c r="D5">
        <f t="shared" si="0"/>
        <v>0.60000000000000009</v>
      </c>
      <c r="G5">
        <f t="shared" si="1"/>
        <v>1.8000000000000003</v>
      </c>
      <c r="I5" t="s">
        <v>51</v>
      </c>
    </row>
    <row r="6" spans="1:11" x14ac:dyDescent="0.35">
      <c r="A6" t="s">
        <v>52</v>
      </c>
      <c r="B6">
        <v>0.4</v>
      </c>
      <c r="D6">
        <f t="shared" si="0"/>
        <v>1.2000000000000002</v>
      </c>
      <c r="G6">
        <f t="shared" si="1"/>
        <v>3.6000000000000005</v>
      </c>
      <c r="I6" t="s">
        <v>53</v>
      </c>
    </row>
    <row r="7" spans="1:11" x14ac:dyDescent="0.35">
      <c r="A7" t="s">
        <v>54</v>
      </c>
      <c r="B7">
        <f>22-SUM(B1:B6)</f>
        <v>7.7999999999999989</v>
      </c>
      <c r="D7">
        <f t="shared" si="0"/>
        <v>23.4</v>
      </c>
      <c r="G7">
        <f t="shared" si="1"/>
        <v>70.199999999999989</v>
      </c>
      <c r="I7" t="s">
        <v>55</v>
      </c>
    </row>
    <row r="8" spans="1:11" x14ac:dyDescent="0.35">
      <c r="B8">
        <v>22</v>
      </c>
      <c r="I8" t="s">
        <v>56</v>
      </c>
    </row>
    <row r="9" spans="1:11" x14ac:dyDescent="0.35">
      <c r="D9">
        <f>SUM(D1,D4:D7)/C1</f>
        <v>20.400000000000002</v>
      </c>
      <c r="G9">
        <f>SUM(G1,G5:G7)/$F$1</f>
        <v>55.199999999999989</v>
      </c>
      <c r="I9" t="s">
        <v>57</v>
      </c>
      <c r="K9" s="4" t="s">
        <v>58</v>
      </c>
    </row>
    <row r="10" spans="1:11" x14ac:dyDescent="0.35">
      <c r="G10">
        <f>(G9+SUM(D2:D3))/3</f>
        <v>19.999999999999996</v>
      </c>
      <c r="K10" s="4" t="s">
        <v>59</v>
      </c>
    </row>
    <row r="11" spans="1:11" x14ac:dyDescent="0.35">
      <c r="A11" t="s">
        <v>40</v>
      </c>
      <c r="B11">
        <v>10</v>
      </c>
      <c r="C11">
        <v>5</v>
      </c>
      <c r="D11">
        <f>B11*$C$11</f>
        <v>50</v>
      </c>
      <c r="K11" s="4" t="s">
        <v>60</v>
      </c>
    </row>
    <row r="12" spans="1:11" x14ac:dyDescent="0.35">
      <c r="I12" t="s">
        <v>61</v>
      </c>
    </row>
    <row r="14" spans="1:11" x14ac:dyDescent="0.35">
      <c r="A14" t="s">
        <v>40</v>
      </c>
      <c r="B14">
        <v>10</v>
      </c>
      <c r="C14">
        <v>4</v>
      </c>
      <c r="D14">
        <f>B14*$C$1</f>
        <v>30</v>
      </c>
    </row>
    <row r="15" spans="1:11" x14ac:dyDescent="0.35">
      <c r="A15" t="s">
        <v>42</v>
      </c>
      <c r="B15">
        <v>0.8</v>
      </c>
      <c r="C15" t="s">
        <v>43</v>
      </c>
      <c r="D15">
        <f t="shared" ref="D15:D20" si="2">B15*$C$1</f>
        <v>2.4000000000000004</v>
      </c>
    </row>
    <row r="16" spans="1:11" x14ac:dyDescent="0.35">
      <c r="B16">
        <v>0.8</v>
      </c>
      <c r="D16">
        <f t="shared" si="2"/>
        <v>2.4000000000000004</v>
      </c>
    </row>
    <row r="17" spans="1:6" x14ac:dyDescent="0.35">
      <c r="A17" s="3" t="s">
        <v>47</v>
      </c>
      <c r="B17" s="3">
        <v>2</v>
      </c>
      <c r="C17" s="3"/>
      <c r="D17" s="3">
        <f t="shared" si="2"/>
        <v>6</v>
      </c>
      <c r="E17" t="s">
        <v>48</v>
      </c>
    </row>
    <row r="18" spans="1:6" x14ac:dyDescent="0.35">
      <c r="A18" t="s">
        <v>50</v>
      </c>
      <c r="B18">
        <v>0.2</v>
      </c>
      <c r="D18">
        <f t="shared" si="2"/>
        <v>0.60000000000000009</v>
      </c>
    </row>
    <row r="19" spans="1:6" x14ac:dyDescent="0.35">
      <c r="A19" t="s">
        <v>52</v>
      </c>
      <c r="B19">
        <v>0.4</v>
      </c>
      <c r="D19">
        <f t="shared" si="2"/>
        <v>1.2000000000000002</v>
      </c>
    </row>
    <row r="20" spans="1:6" x14ac:dyDescent="0.35">
      <c r="A20" t="s">
        <v>54</v>
      </c>
      <c r="B20">
        <f>22-SUM(B14:B19)</f>
        <v>7.7999999999999989</v>
      </c>
      <c r="D20">
        <f t="shared" si="2"/>
        <v>23.4</v>
      </c>
    </row>
    <row r="21" spans="1:6" x14ac:dyDescent="0.35">
      <c r="B21">
        <v>22</v>
      </c>
    </row>
    <row r="22" spans="1:6" x14ac:dyDescent="0.35">
      <c r="D22">
        <f>SUM(D14,D17:D20)/C14</f>
        <v>15.3</v>
      </c>
    </row>
    <row r="24" spans="1:6" x14ac:dyDescent="0.35">
      <c r="A24" t="s">
        <v>40</v>
      </c>
      <c r="B24">
        <v>10</v>
      </c>
      <c r="C24">
        <v>4</v>
      </c>
      <c r="D24">
        <f>B24*$C$24</f>
        <v>40</v>
      </c>
      <c r="F24" t="s">
        <v>145</v>
      </c>
    </row>
    <row r="25" spans="1:6" x14ac:dyDescent="0.35">
      <c r="A25" t="s">
        <v>42</v>
      </c>
      <c r="B25">
        <v>0.8</v>
      </c>
      <c r="D25">
        <f t="shared" ref="D25:D31" si="3">B25*$C$24</f>
        <v>3.2</v>
      </c>
      <c r="F25" t="s">
        <v>146</v>
      </c>
    </row>
    <row r="26" spans="1:6" x14ac:dyDescent="0.35">
      <c r="B26">
        <v>0.8</v>
      </c>
      <c r="D26">
        <f t="shared" si="3"/>
        <v>3.2</v>
      </c>
      <c r="F26" t="s">
        <v>147</v>
      </c>
    </row>
    <row r="27" spans="1:6" x14ac:dyDescent="0.35">
      <c r="A27" s="3" t="s">
        <v>47</v>
      </c>
      <c r="B27" s="3">
        <v>2</v>
      </c>
      <c r="D27">
        <f t="shared" si="3"/>
        <v>8</v>
      </c>
      <c r="F27" t="s">
        <v>148</v>
      </c>
    </row>
    <row r="28" spans="1:6" x14ac:dyDescent="0.35">
      <c r="A28" t="s">
        <v>50</v>
      </c>
      <c r="B28">
        <v>0.2</v>
      </c>
      <c r="D28">
        <f t="shared" si="3"/>
        <v>0.8</v>
      </c>
      <c r="F28" t="s">
        <v>149</v>
      </c>
    </row>
    <row r="29" spans="1:6" x14ac:dyDescent="0.35">
      <c r="A29" t="s">
        <v>52</v>
      </c>
      <c r="B29">
        <v>0.4</v>
      </c>
      <c r="D29">
        <f t="shared" si="3"/>
        <v>1.6</v>
      </c>
      <c r="F29" t="s">
        <v>150</v>
      </c>
    </row>
    <row r="30" spans="1:6" x14ac:dyDescent="0.35">
      <c r="A30" t="s">
        <v>54</v>
      </c>
      <c r="B30">
        <f>22-SUM(B24:B29)</f>
        <v>7.7999999999999989</v>
      </c>
      <c r="D30">
        <f t="shared" si="3"/>
        <v>31.199999999999996</v>
      </c>
      <c r="F30" t="s">
        <v>151</v>
      </c>
    </row>
    <row r="31" spans="1:6" x14ac:dyDescent="0.35">
      <c r="B31">
        <v>22</v>
      </c>
      <c r="D31">
        <f t="shared" si="3"/>
        <v>88</v>
      </c>
      <c r="F31" t="s">
        <v>152</v>
      </c>
    </row>
    <row r="32" spans="1:6" x14ac:dyDescent="0.35">
      <c r="D32">
        <f>SUM(D24,D28:D30)/2</f>
        <v>36.799999999999997</v>
      </c>
    </row>
    <row r="33" spans="4:4" x14ac:dyDescent="0.35">
      <c r="D33">
        <f>(D32+3.2)/2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070F-370A-4873-B914-C5D3DC52EC73}">
  <dimension ref="A1:L48"/>
  <sheetViews>
    <sheetView topLeftCell="A19" workbookViewId="0">
      <selection activeCell="B33" sqref="B33:J34"/>
    </sheetView>
  </sheetViews>
  <sheetFormatPr defaultColWidth="9.08984375" defaultRowHeight="14.5" x14ac:dyDescent="0.35"/>
  <cols>
    <col min="1" max="1" width="9.08984375" style="5"/>
    <col min="2" max="2" width="15.90625" style="5" customWidth="1"/>
    <col min="3" max="3" width="9.08984375" style="5"/>
    <col min="4" max="4" width="17.36328125" style="5" customWidth="1"/>
    <col min="5" max="5" width="9.08984375" style="5"/>
    <col min="6" max="6" width="18" style="5" customWidth="1"/>
    <col min="7" max="16384" width="9.08984375" style="5"/>
  </cols>
  <sheetData>
    <row r="1" spans="1:12" x14ac:dyDescent="0.35">
      <c r="A1" s="5" t="s">
        <v>96</v>
      </c>
      <c r="B1" s="5" t="s">
        <v>95</v>
      </c>
      <c r="C1" s="5" t="s">
        <v>94</v>
      </c>
      <c r="D1" s="5" t="s">
        <v>93</v>
      </c>
      <c r="E1" s="5" t="s">
        <v>92</v>
      </c>
      <c r="F1" s="5" t="s">
        <v>91</v>
      </c>
      <c r="G1" s="5" t="s">
        <v>90</v>
      </c>
      <c r="H1" s="5" t="s">
        <v>89</v>
      </c>
      <c r="I1" s="5" t="s">
        <v>63</v>
      </c>
      <c r="J1" s="5" t="s">
        <v>64</v>
      </c>
      <c r="K1" s="5" t="s">
        <v>88</v>
      </c>
      <c r="L1" s="5" t="s">
        <v>87</v>
      </c>
    </row>
    <row r="2" spans="1:12" x14ac:dyDescent="0.35">
      <c r="A2" s="5">
        <v>1</v>
      </c>
      <c r="B2" s="5" t="s">
        <v>86</v>
      </c>
      <c r="C2" s="5" t="s">
        <v>66</v>
      </c>
      <c r="D2" s="6">
        <v>45666.566180555557</v>
      </c>
      <c r="E2" s="5">
        <v>77.5</v>
      </c>
      <c r="F2" s="5" t="s">
        <v>97</v>
      </c>
      <c r="G2" s="5">
        <v>1.9379999999999999</v>
      </c>
      <c r="H2" s="5">
        <v>0.74199999999999999</v>
      </c>
      <c r="I2" s="5">
        <v>2.61</v>
      </c>
      <c r="J2" s="5">
        <v>0.77</v>
      </c>
      <c r="K2" s="5" t="s">
        <v>65</v>
      </c>
      <c r="L2" s="5">
        <v>40</v>
      </c>
    </row>
    <row r="3" spans="1:12" x14ac:dyDescent="0.35">
      <c r="A3" s="5">
        <v>2</v>
      </c>
      <c r="B3" s="5" t="s">
        <v>85</v>
      </c>
      <c r="C3" s="5" t="s">
        <v>66</v>
      </c>
      <c r="D3" s="6">
        <v>45666.564363425925</v>
      </c>
      <c r="E3" s="5">
        <v>213.6</v>
      </c>
      <c r="F3" s="5" t="s">
        <v>97</v>
      </c>
      <c r="G3" s="5">
        <v>5.3410000000000002</v>
      </c>
      <c r="H3" s="5">
        <v>2.504</v>
      </c>
      <c r="I3" s="5">
        <v>2.13</v>
      </c>
      <c r="J3" s="5">
        <v>0.52</v>
      </c>
      <c r="K3" s="5" t="s">
        <v>65</v>
      </c>
      <c r="L3" s="5">
        <v>40</v>
      </c>
    </row>
    <row r="4" spans="1:12" x14ac:dyDescent="0.35">
      <c r="A4" s="5">
        <v>3</v>
      </c>
      <c r="B4" s="5" t="s">
        <v>84</v>
      </c>
      <c r="C4" s="5" t="s">
        <v>66</v>
      </c>
      <c r="D4" s="6">
        <v>45666.565717592595</v>
      </c>
      <c r="E4" s="5">
        <v>62.3</v>
      </c>
      <c r="F4" s="5" t="s">
        <v>97</v>
      </c>
      <c r="G4" s="5">
        <v>1.5589999999999999</v>
      </c>
      <c r="H4" s="5">
        <v>0.53</v>
      </c>
      <c r="I4" s="5">
        <v>2.94</v>
      </c>
      <c r="J4" s="5">
        <v>16.239999999999998</v>
      </c>
      <c r="K4" s="5" t="s">
        <v>65</v>
      </c>
      <c r="L4" s="5">
        <v>40</v>
      </c>
    </row>
    <row r="5" spans="1:12" x14ac:dyDescent="0.35">
      <c r="A5" s="5">
        <v>4</v>
      </c>
      <c r="B5" s="5" t="s">
        <v>83</v>
      </c>
      <c r="C5" s="5" t="s">
        <v>66</v>
      </c>
      <c r="D5" s="6">
        <v>45666.566759259258</v>
      </c>
      <c r="E5" s="5">
        <v>223.4</v>
      </c>
      <c r="F5" s="5" t="s">
        <v>97</v>
      </c>
      <c r="G5" s="5">
        <v>5.585</v>
      </c>
      <c r="H5" s="5">
        <v>2.4809999999999999</v>
      </c>
      <c r="I5" s="5">
        <v>2.25</v>
      </c>
      <c r="J5" s="5">
        <v>3.1</v>
      </c>
      <c r="K5" s="5" t="s">
        <v>65</v>
      </c>
      <c r="L5" s="5">
        <v>40</v>
      </c>
    </row>
    <row r="6" spans="1:12" x14ac:dyDescent="0.35">
      <c r="A6" s="5">
        <v>5</v>
      </c>
      <c r="B6" s="5" t="s">
        <v>82</v>
      </c>
      <c r="C6" s="5" t="s">
        <v>66</v>
      </c>
      <c r="D6" s="6">
        <v>45666.567256944443</v>
      </c>
      <c r="E6" s="5">
        <v>149.1</v>
      </c>
      <c r="F6" s="5" t="s">
        <v>97</v>
      </c>
      <c r="G6" s="5">
        <v>3.7269999999999999</v>
      </c>
      <c r="H6" s="5">
        <v>1.665</v>
      </c>
      <c r="I6" s="5">
        <v>2.2400000000000002</v>
      </c>
      <c r="J6" s="5">
        <v>1.41</v>
      </c>
      <c r="K6" s="5" t="s">
        <v>65</v>
      </c>
      <c r="L6" s="5">
        <v>40</v>
      </c>
    </row>
    <row r="7" spans="1:12" x14ac:dyDescent="0.35">
      <c r="A7" s="5">
        <v>6</v>
      </c>
      <c r="B7" s="5" t="s">
        <v>81</v>
      </c>
      <c r="C7" s="5" t="s">
        <v>66</v>
      </c>
      <c r="D7" s="6">
        <v>45666.567824074074</v>
      </c>
      <c r="E7" s="5">
        <v>127.3</v>
      </c>
      <c r="F7" s="5" t="s">
        <v>97</v>
      </c>
      <c r="G7" s="5">
        <v>3.1829999999999998</v>
      </c>
      <c r="H7" s="5">
        <v>1.2689999999999999</v>
      </c>
      <c r="I7" s="5">
        <v>2.5099999999999998</v>
      </c>
      <c r="J7" s="5">
        <v>8.4</v>
      </c>
      <c r="K7" s="5" t="s">
        <v>65</v>
      </c>
      <c r="L7" s="5">
        <v>40</v>
      </c>
    </row>
    <row r="8" spans="1:12" x14ac:dyDescent="0.35">
      <c r="A8" s="5">
        <v>7</v>
      </c>
      <c r="B8" s="5" t="s">
        <v>80</v>
      </c>
      <c r="C8" s="5" t="s">
        <v>66</v>
      </c>
      <c r="D8" s="6">
        <v>45666.568553240744</v>
      </c>
      <c r="E8" s="5">
        <v>194.7</v>
      </c>
      <c r="F8" s="5" t="s">
        <v>97</v>
      </c>
      <c r="G8" s="5">
        <v>4.8680000000000003</v>
      </c>
      <c r="H8" s="5">
        <v>2.06</v>
      </c>
      <c r="I8" s="5">
        <v>2.36</v>
      </c>
      <c r="J8" s="5">
        <v>4.04</v>
      </c>
      <c r="K8" s="5" t="s">
        <v>65</v>
      </c>
      <c r="L8" s="5">
        <v>40</v>
      </c>
    </row>
    <row r="9" spans="1:12" x14ac:dyDescent="0.35">
      <c r="A9" s="5">
        <v>8</v>
      </c>
      <c r="B9" s="5" t="s">
        <v>79</v>
      </c>
      <c r="C9" s="5" t="s">
        <v>66</v>
      </c>
      <c r="D9" s="6">
        <v>45666.569085648145</v>
      </c>
      <c r="E9" s="5">
        <v>137.4</v>
      </c>
      <c r="F9" s="5" t="s">
        <v>97</v>
      </c>
      <c r="G9" s="5">
        <v>3.4359999999999999</v>
      </c>
      <c r="H9" s="5">
        <v>1.4430000000000001</v>
      </c>
      <c r="I9" s="5">
        <v>2.38</v>
      </c>
      <c r="J9" s="5">
        <v>3.88</v>
      </c>
      <c r="K9" s="5" t="s">
        <v>65</v>
      </c>
      <c r="L9" s="5">
        <v>40</v>
      </c>
    </row>
    <row r="10" spans="1:12" x14ac:dyDescent="0.35">
      <c r="A10" s="5">
        <v>9</v>
      </c>
      <c r="B10" s="5" t="s">
        <v>78</v>
      </c>
      <c r="C10" s="5" t="s">
        <v>66</v>
      </c>
      <c r="D10" s="6">
        <v>45666.569710648146</v>
      </c>
      <c r="E10" s="5">
        <v>198.6</v>
      </c>
      <c r="F10" s="5" t="s">
        <v>97</v>
      </c>
      <c r="G10" s="5">
        <v>4.9649999999999999</v>
      </c>
      <c r="H10" s="5">
        <v>2.177</v>
      </c>
      <c r="I10" s="5">
        <v>2.2799999999999998</v>
      </c>
      <c r="J10" s="5">
        <v>3.11</v>
      </c>
      <c r="K10" s="5" t="s">
        <v>65</v>
      </c>
      <c r="L10" s="5">
        <v>40</v>
      </c>
    </row>
    <row r="11" spans="1:12" x14ac:dyDescent="0.35">
      <c r="A11" s="5">
        <v>10</v>
      </c>
      <c r="B11" s="5" t="s">
        <v>77</v>
      </c>
      <c r="C11" s="5" t="s">
        <v>66</v>
      </c>
      <c r="D11" s="6">
        <v>45666.570162037038</v>
      </c>
      <c r="E11" s="5">
        <v>210.1</v>
      </c>
      <c r="F11" s="5" t="s">
        <v>97</v>
      </c>
      <c r="G11" s="5">
        <v>5.2539999999999996</v>
      </c>
      <c r="H11" s="5">
        <v>2.2970000000000002</v>
      </c>
      <c r="I11" s="5">
        <v>2.29</v>
      </c>
      <c r="J11" s="5">
        <v>3.37</v>
      </c>
      <c r="K11" s="5" t="s">
        <v>65</v>
      </c>
      <c r="L11" s="5">
        <v>40</v>
      </c>
    </row>
    <row r="12" spans="1:12" x14ac:dyDescent="0.35">
      <c r="A12" s="5">
        <v>11</v>
      </c>
      <c r="B12" s="5" t="s">
        <v>76</v>
      </c>
      <c r="C12" s="5" t="s">
        <v>66</v>
      </c>
      <c r="D12" s="6">
        <v>45666.572453703702</v>
      </c>
      <c r="E12" s="5">
        <v>240.9</v>
      </c>
      <c r="F12" s="5" t="s">
        <v>97</v>
      </c>
      <c r="G12" s="5">
        <v>6.0209999999999999</v>
      </c>
      <c r="H12" s="5">
        <v>2.851</v>
      </c>
      <c r="I12" s="5">
        <v>2.11</v>
      </c>
      <c r="J12" s="5">
        <v>2.19</v>
      </c>
      <c r="K12" s="5" t="s">
        <v>65</v>
      </c>
      <c r="L12" s="5">
        <v>40</v>
      </c>
    </row>
    <row r="13" spans="1:12" x14ac:dyDescent="0.35">
      <c r="A13" s="5">
        <v>12</v>
      </c>
      <c r="B13" s="5" t="s">
        <v>75</v>
      </c>
      <c r="C13" s="5" t="s">
        <v>66</v>
      </c>
      <c r="D13" s="6">
        <v>45666.572951388887</v>
      </c>
      <c r="E13" s="5">
        <v>314.7</v>
      </c>
      <c r="F13" s="5" t="s">
        <v>97</v>
      </c>
      <c r="G13" s="5">
        <v>7.8689999999999998</v>
      </c>
      <c r="H13" s="5">
        <v>3.7370000000000001</v>
      </c>
      <c r="I13" s="5">
        <v>2.11</v>
      </c>
      <c r="J13" s="5">
        <v>2.11</v>
      </c>
      <c r="K13" s="5" t="s">
        <v>65</v>
      </c>
      <c r="L13" s="5">
        <v>40</v>
      </c>
    </row>
    <row r="14" spans="1:12" x14ac:dyDescent="0.35">
      <c r="A14" s="5">
        <v>13</v>
      </c>
      <c r="B14" s="5" t="s">
        <v>74</v>
      </c>
      <c r="C14" s="5" t="s">
        <v>66</v>
      </c>
      <c r="D14" s="6">
        <v>45666.57335648148</v>
      </c>
      <c r="E14" s="5">
        <v>251.2</v>
      </c>
      <c r="F14" s="5" t="s">
        <v>97</v>
      </c>
      <c r="G14" s="5">
        <v>6.2809999999999997</v>
      </c>
      <c r="H14" s="5">
        <v>3.0110000000000001</v>
      </c>
      <c r="I14" s="5">
        <v>2.09</v>
      </c>
      <c r="J14" s="5">
        <v>1.96</v>
      </c>
      <c r="K14" s="5" t="s">
        <v>65</v>
      </c>
      <c r="L14" s="5">
        <v>40</v>
      </c>
    </row>
    <row r="15" spans="1:12" x14ac:dyDescent="0.35">
      <c r="A15" s="5">
        <v>14</v>
      </c>
      <c r="B15" s="5" t="s">
        <v>73</v>
      </c>
      <c r="C15" s="5" t="s">
        <v>66</v>
      </c>
      <c r="D15" s="6">
        <v>45666.574537037035</v>
      </c>
      <c r="E15" s="5">
        <v>333.6</v>
      </c>
      <c r="F15" s="5" t="s">
        <v>97</v>
      </c>
      <c r="G15" s="5">
        <v>8.3409999999999993</v>
      </c>
      <c r="H15" s="5">
        <v>4.1760000000000002</v>
      </c>
      <c r="I15" s="5">
        <v>2</v>
      </c>
      <c r="J15" s="5">
        <v>0.66</v>
      </c>
      <c r="K15" s="5" t="s">
        <v>65</v>
      </c>
      <c r="L15" s="5">
        <v>40</v>
      </c>
    </row>
    <row r="16" spans="1:12" x14ac:dyDescent="0.35">
      <c r="A16" s="5">
        <v>15</v>
      </c>
      <c r="B16" s="5" t="s">
        <v>72</v>
      </c>
      <c r="C16" s="5" t="s">
        <v>66</v>
      </c>
      <c r="D16" s="6">
        <v>45666.573750000003</v>
      </c>
      <c r="E16" s="5">
        <v>309.3</v>
      </c>
      <c r="F16" s="5" t="s">
        <v>97</v>
      </c>
      <c r="G16" s="5">
        <v>7.7320000000000002</v>
      </c>
      <c r="H16" s="5">
        <v>3.7320000000000002</v>
      </c>
      <c r="I16" s="5">
        <v>2.0699999999999998</v>
      </c>
      <c r="J16" s="5">
        <v>2</v>
      </c>
      <c r="K16" s="5" t="s">
        <v>65</v>
      </c>
      <c r="L16" s="5">
        <v>40</v>
      </c>
    </row>
    <row r="17" spans="1:12" x14ac:dyDescent="0.35">
      <c r="A17" s="5">
        <v>16</v>
      </c>
      <c r="B17" s="5" t="s">
        <v>71</v>
      </c>
      <c r="C17" s="5" t="s">
        <v>66</v>
      </c>
      <c r="D17" s="6">
        <v>45666.574178240742</v>
      </c>
      <c r="E17" s="5">
        <v>329.5</v>
      </c>
      <c r="F17" s="5" t="s">
        <v>97</v>
      </c>
      <c r="G17" s="5">
        <v>8.2379999999999995</v>
      </c>
      <c r="H17" s="5">
        <v>3.9590000000000001</v>
      </c>
      <c r="I17" s="5">
        <v>2.08</v>
      </c>
      <c r="J17" s="5">
        <v>2.04</v>
      </c>
      <c r="K17" s="5" t="s">
        <v>65</v>
      </c>
      <c r="L17" s="5">
        <v>40</v>
      </c>
    </row>
    <row r="18" spans="1:12" x14ac:dyDescent="0.35">
      <c r="A18" s="5">
        <v>17</v>
      </c>
      <c r="B18" s="5" t="s">
        <v>70</v>
      </c>
      <c r="C18" s="5" t="s">
        <v>66</v>
      </c>
      <c r="D18" s="6">
        <v>45666.574884259258</v>
      </c>
      <c r="E18" s="5">
        <v>179.7</v>
      </c>
      <c r="F18" s="5" t="s">
        <v>97</v>
      </c>
      <c r="G18" s="5">
        <v>4.492</v>
      </c>
      <c r="H18" s="5">
        <v>2.161</v>
      </c>
      <c r="I18" s="5">
        <v>2.08</v>
      </c>
      <c r="J18" s="5">
        <v>1.82</v>
      </c>
      <c r="K18" s="5" t="s">
        <v>65</v>
      </c>
      <c r="L18" s="5">
        <v>40</v>
      </c>
    </row>
    <row r="19" spans="1:12" x14ac:dyDescent="0.35">
      <c r="A19" s="5">
        <v>18</v>
      </c>
      <c r="B19" s="5" t="s">
        <v>69</v>
      </c>
      <c r="C19" s="5" t="s">
        <v>66</v>
      </c>
      <c r="D19" s="6">
        <v>45666.575243055559</v>
      </c>
      <c r="E19" s="5">
        <v>198.5</v>
      </c>
      <c r="F19" s="5" t="s">
        <v>97</v>
      </c>
      <c r="G19" s="5">
        <v>4.9630000000000001</v>
      </c>
      <c r="H19" s="5">
        <v>2.4129999999999998</v>
      </c>
      <c r="I19" s="5">
        <v>2.06</v>
      </c>
      <c r="J19" s="5">
        <v>1.01</v>
      </c>
      <c r="K19" s="5" t="s">
        <v>65</v>
      </c>
      <c r="L19" s="5">
        <v>40</v>
      </c>
    </row>
    <row r="20" spans="1:12" x14ac:dyDescent="0.35">
      <c r="A20" s="5">
        <v>20</v>
      </c>
      <c r="B20" s="5" t="s">
        <v>68</v>
      </c>
      <c r="C20" s="5" t="s">
        <v>66</v>
      </c>
      <c r="D20" s="6">
        <v>45666.575613425928</v>
      </c>
      <c r="E20" s="5">
        <v>337.6</v>
      </c>
      <c r="F20" s="5" t="s">
        <v>97</v>
      </c>
      <c r="G20" s="5">
        <v>8.44</v>
      </c>
      <c r="H20" s="5">
        <v>4.0679999999999996</v>
      </c>
      <c r="I20" s="5">
        <v>2.0699999999999998</v>
      </c>
      <c r="J20" s="5">
        <v>2.04</v>
      </c>
      <c r="K20" s="5" t="s">
        <v>65</v>
      </c>
      <c r="L20" s="5">
        <v>40</v>
      </c>
    </row>
    <row r="21" spans="1:12" x14ac:dyDescent="0.35">
      <c r="A21" s="5">
        <v>21</v>
      </c>
      <c r="B21" s="5" t="s">
        <v>67</v>
      </c>
      <c r="C21" s="5" t="s">
        <v>66</v>
      </c>
      <c r="D21" s="6">
        <v>45666.57608796296</v>
      </c>
      <c r="E21" s="5">
        <v>274.10000000000002</v>
      </c>
      <c r="F21" s="5" t="s">
        <v>97</v>
      </c>
      <c r="G21" s="5">
        <v>6.8520000000000003</v>
      </c>
      <c r="H21" s="5">
        <v>3.4</v>
      </c>
      <c r="I21" s="5">
        <v>2.02</v>
      </c>
      <c r="J21" s="5">
        <v>1.32</v>
      </c>
      <c r="K21" s="5" t="s">
        <v>65</v>
      </c>
      <c r="L21" s="5">
        <v>40</v>
      </c>
    </row>
    <row r="22" spans="1:12" x14ac:dyDescent="0.35">
      <c r="A22" s="5">
        <v>22</v>
      </c>
      <c r="B22" s="5" t="s">
        <v>19</v>
      </c>
      <c r="C22" s="5" t="s">
        <v>66</v>
      </c>
      <c r="D22" s="6">
        <v>45707.348483796297</v>
      </c>
      <c r="E22" s="5">
        <v>279.60000000000002</v>
      </c>
      <c r="F22" s="5" t="s">
        <v>97</v>
      </c>
      <c r="G22" s="5">
        <v>6.9909999999999997</v>
      </c>
      <c r="H22" s="5">
        <v>3.327</v>
      </c>
      <c r="I22" s="5">
        <v>2.1</v>
      </c>
      <c r="J22" s="5">
        <v>1.99</v>
      </c>
      <c r="K22" s="5" t="s">
        <v>65</v>
      </c>
      <c r="L22" s="5">
        <v>40</v>
      </c>
    </row>
    <row r="23" spans="1:12" x14ac:dyDescent="0.35">
      <c r="A23" s="5">
        <v>19</v>
      </c>
      <c r="B23" s="5" t="s">
        <v>20</v>
      </c>
      <c r="C23" s="5" t="s">
        <v>66</v>
      </c>
      <c r="D23" s="6">
        <v>45707.349027777775</v>
      </c>
      <c r="E23" s="5">
        <v>346.9</v>
      </c>
      <c r="F23" s="5" t="s">
        <v>97</v>
      </c>
      <c r="G23" s="5">
        <v>8.673</v>
      </c>
      <c r="H23" s="5">
        <v>4.1550000000000002</v>
      </c>
      <c r="I23" s="5">
        <v>2.09</v>
      </c>
      <c r="J23" s="5">
        <v>2.06</v>
      </c>
      <c r="K23" s="5" t="s">
        <v>65</v>
      </c>
      <c r="L23" s="5">
        <v>40</v>
      </c>
    </row>
    <row r="24" spans="1:12" x14ac:dyDescent="0.35">
      <c r="A24" s="5">
        <v>24</v>
      </c>
      <c r="B24" s="5" t="s">
        <v>21</v>
      </c>
      <c r="C24" s="5" t="s">
        <v>66</v>
      </c>
      <c r="D24" s="6">
        <v>45707.349432870367</v>
      </c>
      <c r="E24" s="5">
        <v>278.7</v>
      </c>
      <c r="F24" s="5" t="s">
        <v>97</v>
      </c>
      <c r="G24" s="5">
        <v>6.9669999999999996</v>
      </c>
      <c r="H24" s="5">
        <v>3.3090000000000002</v>
      </c>
      <c r="I24" s="5">
        <v>2.11</v>
      </c>
      <c r="J24" s="5">
        <v>2.13</v>
      </c>
      <c r="K24" s="5" t="s">
        <v>65</v>
      </c>
      <c r="L24" s="5">
        <v>40</v>
      </c>
    </row>
    <row r="25" spans="1:12" x14ac:dyDescent="0.35">
      <c r="A25" s="5">
        <v>23</v>
      </c>
      <c r="B25" s="5" t="s">
        <v>22</v>
      </c>
      <c r="C25" s="5" t="s">
        <v>66</v>
      </c>
      <c r="D25" s="6">
        <v>45707.350486111114</v>
      </c>
      <c r="E25" s="5">
        <v>237.8</v>
      </c>
      <c r="F25" s="5" t="s">
        <v>97</v>
      </c>
      <c r="G25" s="5">
        <v>5.944</v>
      </c>
      <c r="H25" s="5">
        <v>2.806</v>
      </c>
      <c r="I25" s="5">
        <v>2.12</v>
      </c>
      <c r="J25" s="5">
        <v>2.0499999999999998</v>
      </c>
      <c r="K25" s="5" t="s">
        <v>65</v>
      </c>
      <c r="L25" s="5">
        <v>40</v>
      </c>
    </row>
    <row r="26" spans="1:12" x14ac:dyDescent="0.35">
      <c r="A26" s="5">
        <v>25</v>
      </c>
      <c r="B26" s="5" t="s">
        <v>23</v>
      </c>
      <c r="C26" s="5" t="s">
        <v>66</v>
      </c>
      <c r="D26" s="6">
        <v>45707.350937499999</v>
      </c>
      <c r="E26" s="5">
        <v>211.1</v>
      </c>
      <c r="F26" s="5" t="s">
        <v>97</v>
      </c>
      <c r="G26" s="5">
        <v>5.2770000000000001</v>
      </c>
      <c r="H26" s="5">
        <v>2.5369999999999999</v>
      </c>
      <c r="I26" s="5">
        <v>2.08</v>
      </c>
      <c r="J26" s="5">
        <v>1.92</v>
      </c>
      <c r="K26" s="5" t="s">
        <v>65</v>
      </c>
      <c r="L26" s="5">
        <v>40</v>
      </c>
    </row>
    <row r="27" spans="1:12" x14ac:dyDescent="0.35">
      <c r="A27" s="5">
        <v>27</v>
      </c>
      <c r="B27" s="5" t="s">
        <v>24</v>
      </c>
      <c r="C27" s="5" t="s">
        <v>66</v>
      </c>
      <c r="D27" s="6">
        <v>45707.351493055554</v>
      </c>
      <c r="E27" s="5">
        <v>224.3</v>
      </c>
      <c r="F27" s="5" t="s">
        <v>97</v>
      </c>
      <c r="G27" s="5">
        <v>5.6070000000000002</v>
      </c>
      <c r="H27" s="5">
        <v>2.6829999999999998</v>
      </c>
      <c r="I27" s="5">
        <v>2.09</v>
      </c>
      <c r="J27" s="5">
        <v>2.06</v>
      </c>
      <c r="K27" s="5" t="s">
        <v>65</v>
      </c>
      <c r="L27" s="5">
        <v>40</v>
      </c>
    </row>
    <row r="28" spans="1:12" x14ac:dyDescent="0.35">
      <c r="A28" s="5">
        <v>26</v>
      </c>
      <c r="B28" s="5" t="s">
        <v>25</v>
      </c>
      <c r="C28" s="5" t="s">
        <v>66</v>
      </c>
      <c r="D28" s="6">
        <v>45707.351921296293</v>
      </c>
      <c r="E28" s="5">
        <v>198.6</v>
      </c>
      <c r="F28" s="5" t="s">
        <v>97</v>
      </c>
      <c r="G28" s="5">
        <v>4.9649999999999999</v>
      </c>
      <c r="H28" s="5">
        <v>2.3530000000000002</v>
      </c>
      <c r="I28" s="5">
        <v>2.11</v>
      </c>
      <c r="J28" s="5">
        <v>2.14</v>
      </c>
      <c r="K28" s="5" t="s">
        <v>65</v>
      </c>
      <c r="L28" s="5">
        <v>40</v>
      </c>
    </row>
    <row r="29" spans="1:12" x14ac:dyDescent="0.35">
      <c r="A29" s="5">
        <v>28</v>
      </c>
      <c r="B29" s="5" t="s">
        <v>26</v>
      </c>
      <c r="C29" s="5" t="s">
        <v>66</v>
      </c>
      <c r="D29" s="6">
        <v>45707.354108796295</v>
      </c>
      <c r="E29" s="5">
        <v>72.2</v>
      </c>
      <c r="F29" s="5" t="s">
        <v>97</v>
      </c>
      <c r="G29" s="5">
        <v>1.8049999999999999</v>
      </c>
      <c r="H29" s="5">
        <v>0.84199999999999997</v>
      </c>
      <c r="I29" s="5">
        <v>2.14</v>
      </c>
      <c r="J29" s="5">
        <v>2.16</v>
      </c>
      <c r="K29" s="5" t="s">
        <v>65</v>
      </c>
      <c r="L29" s="5">
        <v>40</v>
      </c>
    </row>
    <row r="30" spans="1:12" x14ac:dyDescent="0.35">
      <c r="A30" s="5">
        <v>30</v>
      </c>
      <c r="B30" s="5" t="s">
        <v>27</v>
      </c>
      <c r="C30" s="5" t="s">
        <v>66</v>
      </c>
      <c r="D30" s="6">
        <v>45707.352986111109</v>
      </c>
      <c r="E30" s="5">
        <v>140.69999999999999</v>
      </c>
      <c r="F30" s="5" t="s">
        <v>97</v>
      </c>
      <c r="G30" s="5">
        <v>3.516</v>
      </c>
      <c r="H30" s="5">
        <v>1.649</v>
      </c>
      <c r="I30" s="5">
        <v>2.13</v>
      </c>
      <c r="J30" s="5">
        <v>2.2200000000000002</v>
      </c>
      <c r="K30" s="5" t="s">
        <v>65</v>
      </c>
      <c r="L30" s="5">
        <v>40</v>
      </c>
    </row>
    <row r="31" spans="1:12" x14ac:dyDescent="0.35">
      <c r="A31" s="5">
        <v>31</v>
      </c>
      <c r="B31" s="5" t="s">
        <v>28</v>
      </c>
      <c r="C31" s="5" t="s">
        <v>66</v>
      </c>
      <c r="D31" s="6">
        <v>45707.35355324074</v>
      </c>
      <c r="E31" s="5">
        <v>260.2</v>
      </c>
      <c r="F31" s="5" t="s">
        <v>97</v>
      </c>
      <c r="G31" s="5">
        <v>6.5049999999999999</v>
      </c>
      <c r="H31" s="5">
        <v>3.0670000000000002</v>
      </c>
      <c r="I31" s="5">
        <v>2.12</v>
      </c>
      <c r="J31" s="5">
        <v>2.0499999999999998</v>
      </c>
      <c r="K31" s="5" t="s">
        <v>65</v>
      </c>
      <c r="L31" s="5">
        <v>40</v>
      </c>
    </row>
    <row r="32" spans="1:12" x14ac:dyDescent="0.35">
      <c r="A32" s="5">
        <v>29</v>
      </c>
      <c r="B32" s="5" t="s">
        <v>26</v>
      </c>
      <c r="C32" s="5" t="s">
        <v>66</v>
      </c>
      <c r="D32" s="6">
        <v>45707.352500000001</v>
      </c>
      <c r="E32" s="5">
        <v>74.599999999999994</v>
      </c>
      <c r="F32" s="5" t="s">
        <v>97</v>
      </c>
      <c r="G32" s="5">
        <v>1.865</v>
      </c>
      <c r="H32" s="5">
        <v>0.86499999999999999</v>
      </c>
      <c r="I32" s="5">
        <v>2.16</v>
      </c>
      <c r="J32" s="5">
        <v>2.2000000000000002</v>
      </c>
      <c r="K32" s="5" t="s">
        <v>65</v>
      </c>
      <c r="L32" s="5">
        <v>40</v>
      </c>
    </row>
    <row r="33" spans="2:10" x14ac:dyDescent="0.35">
      <c r="B33" s="9" t="s">
        <v>125</v>
      </c>
      <c r="D33" s="10">
        <v>45734</v>
      </c>
      <c r="E33" s="5">
        <v>23</v>
      </c>
      <c r="G33" s="5">
        <v>0.57399999999999995</v>
      </c>
      <c r="H33" s="5">
        <v>0.27500000000000002</v>
      </c>
      <c r="I33" s="5">
        <v>2.09</v>
      </c>
      <c r="J33" s="5">
        <v>1.38</v>
      </c>
    </row>
    <row r="34" spans="2:10" x14ac:dyDescent="0.35">
      <c r="B34" s="9" t="s">
        <v>126</v>
      </c>
      <c r="D34" s="10">
        <v>45734</v>
      </c>
      <c r="E34" s="5">
        <v>25.1</v>
      </c>
      <c r="G34" s="5">
        <v>0.627</v>
      </c>
      <c r="H34" s="5">
        <v>0.307</v>
      </c>
      <c r="I34" s="5">
        <v>2.04</v>
      </c>
      <c r="J34" s="5">
        <v>1.1499999999999999</v>
      </c>
    </row>
    <row r="35" spans="2:10" x14ac:dyDescent="0.35">
      <c r="B35" s="9" t="s">
        <v>127</v>
      </c>
      <c r="D35" s="10">
        <v>45734</v>
      </c>
      <c r="E35" s="5">
        <v>3.5</v>
      </c>
      <c r="G35" s="5">
        <v>8.7999999999999995E-2</v>
      </c>
      <c r="H35" s="5">
        <v>4.1000000000000002E-2</v>
      </c>
      <c r="I35" s="5">
        <v>2.13</v>
      </c>
      <c r="J35" s="5">
        <v>0.56000000000000005</v>
      </c>
    </row>
    <row r="36" spans="2:10" x14ac:dyDescent="0.35">
      <c r="B36" s="9" t="s">
        <v>127</v>
      </c>
      <c r="D36" s="10">
        <v>45734</v>
      </c>
      <c r="E36" s="5">
        <v>2.8</v>
      </c>
      <c r="G36" s="5">
        <v>7.0000000000000007E-2</v>
      </c>
      <c r="H36" s="5">
        <v>1.7000000000000001E-2</v>
      </c>
      <c r="I36" s="5">
        <v>4.17</v>
      </c>
      <c r="J36" s="5">
        <v>0.52</v>
      </c>
    </row>
    <row r="37" spans="2:10" x14ac:dyDescent="0.35">
      <c r="B37" s="9" t="s">
        <v>128</v>
      </c>
      <c r="D37" s="10">
        <v>45734</v>
      </c>
      <c r="E37" s="5">
        <v>9.1999999999999993</v>
      </c>
      <c r="G37" s="5">
        <v>0.22900000000000001</v>
      </c>
      <c r="H37" s="5">
        <v>0.11</v>
      </c>
      <c r="I37" s="5">
        <v>2.09</v>
      </c>
      <c r="J37" s="5">
        <v>0.78</v>
      </c>
    </row>
    <row r="38" spans="2:10" x14ac:dyDescent="0.35">
      <c r="B38" s="9" t="s">
        <v>129</v>
      </c>
      <c r="D38" s="10">
        <v>45734</v>
      </c>
      <c r="E38" s="5">
        <v>15.9</v>
      </c>
      <c r="G38" s="5">
        <v>0.39800000000000002</v>
      </c>
      <c r="H38" s="5">
        <v>0.19</v>
      </c>
      <c r="I38" s="5">
        <v>2.1</v>
      </c>
      <c r="J38" s="5">
        <v>1.05</v>
      </c>
    </row>
    <row r="39" spans="2:10" x14ac:dyDescent="0.35">
      <c r="B39" s="9" t="s">
        <v>130</v>
      </c>
      <c r="D39" s="10">
        <v>45734</v>
      </c>
      <c r="E39" s="5">
        <v>35.9</v>
      </c>
      <c r="G39" s="5">
        <v>0.89800000000000002</v>
      </c>
      <c r="H39" s="5">
        <v>0.40600000000000003</v>
      </c>
      <c r="I39" s="5">
        <v>2.21</v>
      </c>
      <c r="J39" s="5">
        <v>1.84</v>
      </c>
    </row>
    <row r="40" spans="2:10" x14ac:dyDescent="0.35">
      <c r="B40" s="9" t="s">
        <v>131</v>
      </c>
      <c r="D40" s="10">
        <v>45734</v>
      </c>
      <c r="E40" s="5">
        <v>7.7</v>
      </c>
      <c r="G40" s="5">
        <v>0.193</v>
      </c>
      <c r="H40" s="5">
        <v>0.09</v>
      </c>
      <c r="I40" s="5">
        <v>2.13</v>
      </c>
      <c r="J40" s="5">
        <v>0.64</v>
      </c>
    </row>
    <row r="41" spans="2:10" x14ac:dyDescent="0.35">
      <c r="B41" s="9" t="s">
        <v>132</v>
      </c>
      <c r="D41" s="10">
        <v>45734</v>
      </c>
      <c r="E41" s="5">
        <v>13.9</v>
      </c>
      <c r="G41" s="5">
        <v>0.34799999999999998</v>
      </c>
      <c r="H41" s="5">
        <v>0.156</v>
      </c>
      <c r="I41" s="5">
        <v>2.23</v>
      </c>
      <c r="J41" s="5">
        <v>1.1599999999999999</v>
      </c>
    </row>
    <row r="42" spans="2:10" x14ac:dyDescent="0.35">
      <c r="B42" s="9" t="s">
        <v>133</v>
      </c>
      <c r="D42" s="10">
        <v>45734</v>
      </c>
      <c r="E42" s="5">
        <v>35.1</v>
      </c>
      <c r="G42" s="5">
        <v>0.878</v>
      </c>
      <c r="H42" s="5">
        <v>0.40699999999999997</v>
      </c>
      <c r="I42" s="5">
        <v>2.16</v>
      </c>
      <c r="J42" s="5">
        <v>1.45</v>
      </c>
    </row>
    <row r="43" spans="2:10" x14ac:dyDescent="0.35">
      <c r="B43" s="9" t="s">
        <v>134</v>
      </c>
      <c r="D43" s="10">
        <v>45734</v>
      </c>
      <c r="E43" s="5">
        <v>33.4</v>
      </c>
      <c r="G43" s="5">
        <v>0.83499999999999996</v>
      </c>
      <c r="H43" s="5">
        <v>0.38400000000000001</v>
      </c>
      <c r="I43" s="5">
        <v>2.17</v>
      </c>
      <c r="J43" s="5">
        <v>1.67</v>
      </c>
    </row>
    <row r="44" spans="2:10" x14ac:dyDescent="0.35">
      <c r="B44" s="9" t="s">
        <v>135</v>
      </c>
      <c r="D44" s="10">
        <v>45734</v>
      </c>
      <c r="E44" s="5">
        <v>10.199999999999999</v>
      </c>
      <c r="G44" s="5">
        <v>0.254</v>
      </c>
      <c r="H44" s="5">
        <v>0.121</v>
      </c>
      <c r="I44" s="5">
        <v>2.11</v>
      </c>
      <c r="J44" s="5">
        <v>1.1299999999999999</v>
      </c>
    </row>
    <row r="45" spans="2:10" x14ac:dyDescent="0.35">
      <c r="B45" s="9" t="s">
        <v>136</v>
      </c>
      <c r="D45" s="10">
        <v>45734</v>
      </c>
      <c r="E45" s="5">
        <v>7.5</v>
      </c>
      <c r="G45" s="5">
        <v>0.188</v>
      </c>
      <c r="H45" s="5">
        <v>9.9000000000000005E-2</v>
      </c>
      <c r="I45" s="5">
        <v>1.89</v>
      </c>
      <c r="J45" s="5">
        <v>0.49</v>
      </c>
    </row>
    <row r="46" spans="2:10" x14ac:dyDescent="0.35">
      <c r="B46" s="9" t="s">
        <v>137</v>
      </c>
      <c r="D46" s="10">
        <v>45734</v>
      </c>
      <c r="E46" s="5">
        <v>3.2</v>
      </c>
      <c r="G46" s="5">
        <v>0.08</v>
      </c>
      <c r="H46" s="5">
        <v>3.7999999999999999E-2</v>
      </c>
      <c r="I46" s="5">
        <v>2.09</v>
      </c>
      <c r="J46" s="5">
        <v>0.5</v>
      </c>
    </row>
    <row r="47" spans="2:10" x14ac:dyDescent="0.35">
      <c r="B47" s="9" t="s">
        <v>138</v>
      </c>
      <c r="D47" s="10">
        <v>45734</v>
      </c>
      <c r="E47" s="5">
        <v>8.9</v>
      </c>
      <c r="G47" s="5">
        <v>0.223</v>
      </c>
      <c r="H47" s="5">
        <v>0.112</v>
      </c>
      <c r="I47" s="5">
        <v>2</v>
      </c>
      <c r="J47" s="5">
        <v>0.67</v>
      </c>
    </row>
    <row r="48" spans="2:10" x14ac:dyDescent="0.35">
      <c r="B48" s="9" t="s">
        <v>139</v>
      </c>
      <c r="D48" s="10">
        <v>45734</v>
      </c>
      <c r="E48" s="5">
        <v>9.1999999999999993</v>
      </c>
      <c r="G48" s="5">
        <v>0.22900000000000001</v>
      </c>
      <c r="H48" s="5">
        <v>0.104</v>
      </c>
      <c r="I48" s="5">
        <v>2.21</v>
      </c>
      <c r="J48" s="5">
        <v>0.76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24C7-C433-4EAD-B9E4-97CE3282C540}">
  <dimension ref="A1:S35"/>
  <sheetViews>
    <sheetView topLeftCell="A13" zoomScaleNormal="100" workbookViewId="0">
      <selection sqref="A1:Q29"/>
    </sheetView>
  </sheetViews>
  <sheetFormatPr defaultRowHeight="14.5" x14ac:dyDescent="0.35"/>
  <cols>
    <col min="3" max="3" width="11.6328125" customWidth="1"/>
    <col min="4" max="4" width="15.453125" customWidth="1"/>
    <col min="5" max="5" width="22.08984375" hidden="1" customWidth="1"/>
    <col min="14" max="14" width="12.36328125" customWidth="1"/>
    <col min="17" max="17" width="11.54296875" customWidth="1"/>
  </cols>
  <sheetData>
    <row r="1" spans="1:17" x14ac:dyDescent="0.35">
      <c r="A1" s="25" t="s">
        <v>153</v>
      </c>
      <c r="B1" s="25" t="s">
        <v>154</v>
      </c>
      <c r="C1" s="25" t="s">
        <v>1</v>
      </c>
      <c r="D1" s="25" t="s">
        <v>155</v>
      </c>
      <c r="E1" s="25" t="s">
        <v>168</v>
      </c>
      <c r="F1" s="24" t="s">
        <v>157</v>
      </c>
      <c r="G1" s="24"/>
      <c r="H1" s="24"/>
      <c r="I1" s="24" t="s">
        <v>156</v>
      </c>
      <c r="J1" s="24"/>
      <c r="K1" s="24"/>
      <c r="L1" s="24" t="s">
        <v>158</v>
      </c>
      <c r="M1" s="24" t="s">
        <v>159</v>
      </c>
      <c r="N1" s="25" t="s">
        <v>160</v>
      </c>
      <c r="O1" s="38" t="s">
        <v>167</v>
      </c>
      <c r="P1" s="38"/>
      <c r="Q1" s="38"/>
    </row>
    <row r="2" spans="1:17" ht="15" customHeight="1" x14ac:dyDescent="0.35">
      <c r="A2" s="25"/>
      <c r="B2" s="25"/>
      <c r="C2" s="25"/>
      <c r="D2" s="25"/>
      <c r="E2" s="25"/>
      <c r="F2" s="24"/>
      <c r="G2" s="24"/>
      <c r="H2" s="24"/>
      <c r="I2" s="24"/>
      <c r="J2" s="24"/>
      <c r="K2" s="24"/>
      <c r="L2" s="24"/>
      <c r="M2" s="24"/>
      <c r="N2" s="25"/>
      <c r="O2" s="24" t="s">
        <v>158</v>
      </c>
      <c r="P2" s="24" t="s">
        <v>159</v>
      </c>
      <c r="Q2" s="25" t="s">
        <v>160</v>
      </c>
    </row>
    <row r="3" spans="1:17" x14ac:dyDescent="0.35">
      <c r="A3" s="25"/>
      <c r="B3" s="25"/>
      <c r="C3" s="25"/>
      <c r="D3" s="25"/>
      <c r="E3" s="25"/>
      <c r="F3" s="24" t="s">
        <v>162</v>
      </c>
      <c r="G3" s="24"/>
      <c r="H3" s="24"/>
      <c r="I3" s="24" t="s">
        <v>161</v>
      </c>
      <c r="J3" s="24"/>
      <c r="K3" s="24"/>
      <c r="L3" s="24"/>
      <c r="M3" s="24"/>
      <c r="N3" s="25"/>
      <c r="O3" s="24"/>
      <c r="P3" s="24"/>
      <c r="Q3" s="25"/>
    </row>
    <row r="4" spans="1:17" x14ac:dyDescent="0.35">
      <c r="A4" s="25"/>
      <c r="B4" s="25"/>
      <c r="C4" s="25"/>
      <c r="D4" s="25"/>
      <c r="E4" s="25"/>
      <c r="F4" s="20" t="s">
        <v>163</v>
      </c>
      <c r="G4" s="20" t="s">
        <v>164</v>
      </c>
      <c r="H4" s="20" t="s">
        <v>165</v>
      </c>
      <c r="I4" s="20" t="s">
        <v>163</v>
      </c>
      <c r="J4" s="20" t="s">
        <v>164</v>
      </c>
      <c r="K4" s="20" t="s">
        <v>165</v>
      </c>
      <c r="L4" s="24"/>
      <c r="M4" s="24"/>
      <c r="N4" s="25"/>
      <c r="O4" s="24"/>
      <c r="P4" s="24"/>
      <c r="Q4" s="25"/>
    </row>
    <row r="5" spans="1:17" x14ac:dyDescent="0.35">
      <c r="A5" s="17">
        <v>1</v>
      </c>
      <c r="B5" s="17" t="s">
        <v>19</v>
      </c>
      <c r="C5" s="17" t="s">
        <v>3</v>
      </c>
      <c r="D5" s="17" t="s">
        <v>2</v>
      </c>
      <c r="E5" s="17" t="s">
        <v>32</v>
      </c>
      <c r="F5" s="18">
        <v>15.11</v>
      </c>
      <c r="G5" s="18">
        <v>15.07</v>
      </c>
      <c r="H5" s="18">
        <f>AVERAGE(F5:G5)</f>
        <v>15.09</v>
      </c>
      <c r="I5" s="18">
        <v>18.010000000000002</v>
      </c>
      <c r="J5" s="18">
        <v>18.14</v>
      </c>
      <c r="K5" s="18">
        <f>AVERAGE(I5:J5)</f>
        <v>18.075000000000003</v>
      </c>
      <c r="L5" s="18">
        <f>K5-H5</f>
        <v>2.985000000000003</v>
      </c>
      <c r="M5" s="18">
        <f t="shared" ref="M5:M24" si="0">L5-(AVERAGE($L$25:$L$29))</f>
        <v>-0.1079999999999961</v>
      </c>
      <c r="N5" s="17">
        <f>2^(-M5)</f>
        <v>1.077733145043668</v>
      </c>
      <c r="O5" s="26">
        <f>AVERAGE(K5:K9)-AVERAGE(H5:H9)</f>
        <v>2.7760000000000034</v>
      </c>
      <c r="P5" s="26">
        <f>O5-$O$25</f>
        <v>-0.31699999999999662</v>
      </c>
      <c r="Q5" s="26">
        <f>2^(-P5)</f>
        <v>1.2457374155694709</v>
      </c>
    </row>
    <row r="6" spans="1:17" x14ac:dyDescent="0.35">
      <c r="A6" s="17">
        <v>2</v>
      </c>
      <c r="B6" s="17" t="s">
        <v>20</v>
      </c>
      <c r="C6" s="17" t="s">
        <v>4</v>
      </c>
      <c r="D6" s="17" t="s">
        <v>2</v>
      </c>
      <c r="E6" s="17" t="s">
        <v>33</v>
      </c>
      <c r="F6" s="18">
        <v>18.82</v>
      </c>
      <c r="G6" s="18">
        <v>18.23</v>
      </c>
      <c r="H6" s="18">
        <f t="shared" ref="H6:H29" si="1">AVERAGE(F6:G6)</f>
        <v>18.524999999999999</v>
      </c>
      <c r="I6" s="18">
        <v>20.46</v>
      </c>
      <c r="J6" s="18">
        <v>20.190000000000001</v>
      </c>
      <c r="K6" s="18">
        <f t="shared" ref="K6:K29" si="2">AVERAGE(I6:J6)</f>
        <v>20.325000000000003</v>
      </c>
      <c r="L6" s="18">
        <f t="shared" ref="L6:L29" si="3">K6-H6</f>
        <v>1.8000000000000043</v>
      </c>
      <c r="M6" s="18">
        <f t="shared" si="0"/>
        <v>-1.2929999999999948</v>
      </c>
      <c r="N6" s="17">
        <f t="shared" ref="N6:N29" si="4">2^(-M6)</f>
        <v>2.450370663809343</v>
      </c>
      <c r="O6" s="27"/>
      <c r="P6" s="27"/>
      <c r="Q6" s="30"/>
    </row>
    <row r="7" spans="1:17" x14ac:dyDescent="0.35">
      <c r="A7" s="17">
        <v>3</v>
      </c>
      <c r="B7" s="17" t="s">
        <v>21</v>
      </c>
      <c r="C7" s="17" t="s">
        <v>5</v>
      </c>
      <c r="D7" s="17" t="s">
        <v>2</v>
      </c>
      <c r="E7" s="17" t="s">
        <v>34</v>
      </c>
      <c r="F7" s="18">
        <v>16.559999999999999</v>
      </c>
      <c r="G7" s="18">
        <v>17.75</v>
      </c>
      <c r="H7" s="18">
        <f t="shared" si="1"/>
        <v>17.155000000000001</v>
      </c>
      <c r="I7" s="18">
        <v>19.75</v>
      </c>
      <c r="J7" s="18">
        <v>19.71</v>
      </c>
      <c r="K7" s="18">
        <f t="shared" si="2"/>
        <v>19.73</v>
      </c>
      <c r="L7" s="18">
        <f t="shared" si="3"/>
        <v>2.5749999999999993</v>
      </c>
      <c r="M7" s="18">
        <f t="shared" si="0"/>
        <v>-0.51799999999999979</v>
      </c>
      <c r="N7" s="17">
        <f t="shared" si="4"/>
        <v>1.4319687412011433</v>
      </c>
      <c r="O7" s="27"/>
      <c r="P7" s="27"/>
      <c r="Q7" s="30"/>
    </row>
    <row r="8" spans="1:17" x14ac:dyDescent="0.35">
      <c r="A8" s="17">
        <v>4</v>
      </c>
      <c r="B8" s="17" t="s">
        <v>22</v>
      </c>
      <c r="C8" s="17" t="s">
        <v>6</v>
      </c>
      <c r="D8" s="17" t="s">
        <v>2</v>
      </c>
      <c r="E8" s="17" t="s">
        <v>35</v>
      </c>
      <c r="F8" s="18">
        <v>16.13</v>
      </c>
      <c r="G8" s="18">
        <v>15.98</v>
      </c>
      <c r="H8" s="18">
        <f t="shared" si="1"/>
        <v>16.055</v>
      </c>
      <c r="I8" s="18">
        <v>19.18</v>
      </c>
      <c r="J8" s="18">
        <v>19.64</v>
      </c>
      <c r="K8" s="18">
        <f t="shared" si="2"/>
        <v>19.41</v>
      </c>
      <c r="L8" s="18">
        <f t="shared" si="3"/>
        <v>3.3550000000000004</v>
      </c>
      <c r="M8" s="18">
        <f t="shared" si="0"/>
        <v>0.26200000000000134</v>
      </c>
      <c r="N8" s="17">
        <f t="shared" si="4"/>
        <v>0.83393104382496319</v>
      </c>
      <c r="O8" s="27"/>
      <c r="P8" s="27"/>
      <c r="Q8" s="30"/>
    </row>
    <row r="9" spans="1:17" x14ac:dyDescent="0.35">
      <c r="A9" s="17">
        <v>5</v>
      </c>
      <c r="B9" s="17" t="s">
        <v>128</v>
      </c>
      <c r="C9" s="17" t="s">
        <v>122</v>
      </c>
      <c r="D9" s="17" t="s">
        <v>2</v>
      </c>
      <c r="E9" s="17" t="s">
        <v>123</v>
      </c>
      <c r="F9" s="19">
        <v>17.100000000000001</v>
      </c>
      <c r="G9" s="19">
        <v>17.72</v>
      </c>
      <c r="H9" s="18">
        <f t="shared" si="1"/>
        <v>17.41</v>
      </c>
      <c r="I9" s="18">
        <v>20.56</v>
      </c>
      <c r="J9" s="18">
        <v>20.59</v>
      </c>
      <c r="K9" s="18">
        <f t="shared" si="2"/>
        <v>20.574999999999999</v>
      </c>
      <c r="L9" s="18">
        <f t="shared" si="3"/>
        <v>3.1649999999999991</v>
      </c>
      <c r="M9" s="18">
        <f t="shared" si="0"/>
        <v>7.2000000000000064E-2</v>
      </c>
      <c r="N9" s="17">
        <f t="shared" si="4"/>
        <v>0.951318276331799</v>
      </c>
      <c r="O9" s="28"/>
      <c r="P9" s="28"/>
      <c r="Q9" s="31"/>
    </row>
    <row r="10" spans="1:17" x14ac:dyDescent="0.35">
      <c r="A10" s="21">
        <v>6</v>
      </c>
      <c r="B10" s="21" t="s">
        <v>23</v>
      </c>
      <c r="C10" s="21" t="s">
        <v>8</v>
      </c>
      <c r="D10" s="21" t="s">
        <v>141</v>
      </c>
      <c r="E10" s="21" t="s">
        <v>31</v>
      </c>
      <c r="F10" s="22">
        <v>18.03</v>
      </c>
      <c r="G10" s="22">
        <v>16.78</v>
      </c>
      <c r="H10" s="22">
        <f t="shared" si="1"/>
        <v>17.405000000000001</v>
      </c>
      <c r="I10" s="22">
        <v>19.93</v>
      </c>
      <c r="J10" s="22">
        <v>19.309999999999999</v>
      </c>
      <c r="K10" s="22">
        <f t="shared" si="2"/>
        <v>19.619999999999997</v>
      </c>
      <c r="L10" s="22">
        <f t="shared" si="3"/>
        <v>2.2149999999999963</v>
      </c>
      <c r="M10" s="22">
        <f t="shared" si="0"/>
        <v>-0.87800000000000278</v>
      </c>
      <c r="N10" s="21">
        <f t="shared" si="4"/>
        <v>1.8378257669581033</v>
      </c>
      <c r="O10" s="32">
        <f t="shared" ref="O10:O25" si="5">AVERAGE(K10:K14)-AVERAGE(H10:H14)</f>
        <v>2.3590000000000018</v>
      </c>
      <c r="P10" s="32">
        <f t="shared" ref="P10:P25" si="6">O10-$O$25</f>
        <v>-0.73399999999999821</v>
      </c>
      <c r="Q10" s="35">
        <f t="shared" ref="Q10:Q25" si="7">2^(-P10)</f>
        <v>1.6632441967498106</v>
      </c>
    </row>
    <row r="11" spans="1:17" x14ac:dyDescent="0.35">
      <c r="A11" s="21">
        <v>7</v>
      </c>
      <c r="B11" s="21" t="s">
        <v>24</v>
      </c>
      <c r="C11" s="21" t="s">
        <v>9</v>
      </c>
      <c r="D11" s="21" t="s">
        <v>141</v>
      </c>
      <c r="E11" s="21" t="s">
        <v>31</v>
      </c>
      <c r="F11" s="22">
        <v>20.03</v>
      </c>
      <c r="G11" s="22">
        <v>19.829999999999998</v>
      </c>
      <c r="H11" s="22">
        <f t="shared" si="1"/>
        <v>19.93</v>
      </c>
      <c r="I11" s="22">
        <v>21.66</v>
      </c>
      <c r="J11" s="22">
        <v>21.2</v>
      </c>
      <c r="K11" s="22">
        <f t="shared" si="2"/>
        <v>21.43</v>
      </c>
      <c r="L11" s="22">
        <f t="shared" si="3"/>
        <v>1.5</v>
      </c>
      <c r="M11" s="22">
        <f t="shared" si="0"/>
        <v>-1.5929999999999991</v>
      </c>
      <c r="N11" s="21">
        <f t="shared" si="4"/>
        <v>3.0167601533731561</v>
      </c>
      <c r="O11" s="33"/>
      <c r="P11" s="33"/>
      <c r="Q11" s="36"/>
    </row>
    <row r="12" spans="1:17" x14ac:dyDescent="0.35">
      <c r="A12" s="21">
        <v>8</v>
      </c>
      <c r="B12" s="21" t="s">
        <v>25</v>
      </c>
      <c r="C12" s="21" t="s">
        <v>10</v>
      </c>
      <c r="D12" s="21" t="s">
        <v>141</v>
      </c>
      <c r="E12" s="21" t="s">
        <v>31</v>
      </c>
      <c r="F12" s="22">
        <v>16.23</v>
      </c>
      <c r="G12" s="22">
        <v>16.84</v>
      </c>
      <c r="H12" s="22">
        <f t="shared" si="1"/>
        <v>16.535</v>
      </c>
      <c r="I12" s="22">
        <v>20</v>
      </c>
      <c r="J12" s="22">
        <v>20.16</v>
      </c>
      <c r="K12" s="22">
        <f t="shared" si="2"/>
        <v>20.079999999999998</v>
      </c>
      <c r="L12" s="22">
        <f t="shared" si="3"/>
        <v>3.5449999999999982</v>
      </c>
      <c r="M12" s="22">
        <f t="shared" si="0"/>
        <v>0.45199999999999907</v>
      </c>
      <c r="N12" s="21">
        <f t="shared" si="4"/>
        <v>0.73102872420001719</v>
      </c>
      <c r="O12" s="33"/>
      <c r="P12" s="33"/>
      <c r="Q12" s="36"/>
    </row>
    <row r="13" spans="1:17" x14ac:dyDescent="0.35">
      <c r="A13" s="21">
        <v>9</v>
      </c>
      <c r="B13" s="21" t="s">
        <v>26</v>
      </c>
      <c r="C13" s="21" t="s">
        <v>11</v>
      </c>
      <c r="D13" s="21" t="s">
        <v>141</v>
      </c>
      <c r="E13" s="21" t="s">
        <v>31</v>
      </c>
      <c r="F13" s="22">
        <v>16.82</v>
      </c>
      <c r="G13" s="22">
        <v>16.82</v>
      </c>
      <c r="H13" s="22">
        <f t="shared" si="1"/>
        <v>16.82</v>
      </c>
      <c r="I13" s="22">
        <v>18.03</v>
      </c>
      <c r="J13" s="22">
        <v>18.13</v>
      </c>
      <c r="K13" s="22">
        <f t="shared" si="2"/>
        <v>18.079999999999998</v>
      </c>
      <c r="L13" s="22">
        <f t="shared" si="3"/>
        <v>1.259999999999998</v>
      </c>
      <c r="M13" s="22">
        <f t="shared" si="0"/>
        <v>-1.8330000000000011</v>
      </c>
      <c r="N13" s="21">
        <f t="shared" si="4"/>
        <v>3.5627716024267264</v>
      </c>
      <c r="O13" s="33"/>
      <c r="P13" s="33"/>
      <c r="Q13" s="36"/>
    </row>
    <row r="14" spans="1:17" x14ac:dyDescent="0.35">
      <c r="A14" s="21">
        <v>10</v>
      </c>
      <c r="B14" s="21" t="s">
        <v>129</v>
      </c>
      <c r="C14" s="21" t="s">
        <v>142</v>
      </c>
      <c r="D14" s="21" t="s">
        <v>141</v>
      </c>
      <c r="E14" s="21" t="s">
        <v>124</v>
      </c>
      <c r="F14" s="22">
        <v>17.600000000000001</v>
      </c>
      <c r="G14" s="22">
        <v>17.78</v>
      </c>
      <c r="H14" s="22">
        <f t="shared" si="1"/>
        <v>17.690000000000001</v>
      </c>
      <c r="I14" s="22">
        <v>20.86</v>
      </c>
      <c r="J14" s="22">
        <v>21.07</v>
      </c>
      <c r="K14" s="22">
        <f t="shared" si="2"/>
        <v>20.965</v>
      </c>
      <c r="L14" s="22">
        <f t="shared" si="3"/>
        <v>3.2749999999999986</v>
      </c>
      <c r="M14" s="22">
        <f t="shared" si="0"/>
        <v>0.1819999999999995</v>
      </c>
      <c r="N14" s="21">
        <f t="shared" si="4"/>
        <v>0.88148015790717049</v>
      </c>
      <c r="O14" s="34"/>
      <c r="P14" s="34"/>
      <c r="Q14" s="37"/>
    </row>
    <row r="15" spans="1:17" x14ac:dyDescent="0.35">
      <c r="A15" s="17">
        <v>11</v>
      </c>
      <c r="B15" s="17" t="s">
        <v>27</v>
      </c>
      <c r="C15" s="17" t="s">
        <v>13</v>
      </c>
      <c r="D15" s="17" t="s">
        <v>12</v>
      </c>
      <c r="E15" s="17" t="s">
        <v>36</v>
      </c>
      <c r="F15" s="18">
        <v>16.27</v>
      </c>
      <c r="G15" s="18">
        <v>16.829999999999998</v>
      </c>
      <c r="H15" s="18">
        <f t="shared" si="1"/>
        <v>16.549999999999997</v>
      </c>
      <c r="I15" s="18">
        <v>19.8</v>
      </c>
      <c r="J15" s="18">
        <v>20.010000000000002</v>
      </c>
      <c r="K15" s="18">
        <f t="shared" si="2"/>
        <v>19.905000000000001</v>
      </c>
      <c r="L15" s="18">
        <f t="shared" si="3"/>
        <v>3.355000000000004</v>
      </c>
      <c r="M15" s="18">
        <f t="shared" si="0"/>
        <v>0.2620000000000049</v>
      </c>
      <c r="N15" s="17">
        <f t="shared" si="4"/>
        <v>0.83393104382496119</v>
      </c>
      <c r="O15" s="26">
        <f t="shared" si="5"/>
        <v>2.6490000000000009</v>
      </c>
      <c r="P15" s="26">
        <f t="shared" si="6"/>
        <v>-0.44399999999999906</v>
      </c>
      <c r="Q15" s="29">
        <f t="shared" si="7"/>
        <v>1.3603708524059541</v>
      </c>
    </row>
    <row r="16" spans="1:17" x14ac:dyDescent="0.35">
      <c r="A16" s="17">
        <v>12</v>
      </c>
      <c r="B16" s="17" t="s">
        <v>28</v>
      </c>
      <c r="C16" s="17" t="s">
        <v>14</v>
      </c>
      <c r="D16" s="17" t="s">
        <v>12</v>
      </c>
      <c r="E16" s="17" t="s">
        <v>37</v>
      </c>
      <c r="F16" s="18">
        <v>16.829999999999998</v>
      </c>
      <c r="G16" s="18">
        <v>17.23</v>
      </c>
      <c r="H16" s="18">
        <f t="shared" si="1"/>
        <v>17.03</v>
      </c>
      <c r="I16" s="18">
        <v>20.309999999999999</v>
      </c>
      <c r="J16" s="18">
        <v>20.68</v>
      </c>
      <c r="K16" s="18">
        <f t="shared" si="2"/>
        <v>20.494999999999997</v>
      </c>
      <c r="L16" s="18">
        <f t="shared" si="3"/>
        <v>3.4649999999999963</v>
      </c>
      <c r="M16" s="18">
        <f t="shared" si="0"/>
        <v>0.37199999999999722</v>
      </c>
      <c r="N16" s="17">
        <f t="shared" si="4"/>
        <v>0.77271054964798891</v>
      </c>
      <c r="O16" s="27"/>
      <c r="P16" s="27"/>
      <c r="Q16" s="30"/>
    </row>
    <row r="17" spans="1:19" x14ac:dyDescent="0.35">
      <c r="A17" s="17">
        <v>13</v>
      </c>
      <c r="B17" s="17" t="s">
        <v>125</v>
      </c>
      <c r="C17" s="17" t="s">
        <v>115</v>
      </c>
      <c r="D17" s="17" t="s">
        <v>12</v>
      </c>
      <c r="E17" s="17" t="s">
        <v>118</v>
      </c>
      <c r="F17" s="18">
        <v>18.649999999999999</v>
      </c>
      <c r="G17" s="18">
        <v>18.8</v>
      </c>
      <c r="H17" s="18">
        <f t="shared" si="1"/>
        <v>18.725000000000001</v>
      </c>
      <c r="I17" s="18">
        <v>20.99</v>
      </c>
      <c r="J17" s="18">
        <v>23.1</v>
      </c>
      <c r="K17" s="18">
        <f t="shared" si="2"/>
        <v>22.045000000000002</v>
      </c>
      <c r="L17" s="18">
        <f t="shared" si="3"/>
        <v>3.3200000000000003</v>
      </c>
      <c r="M17" s="18">
        <f t="shared" si="0"/>
        <v>0.2270000000000012</v>
      </c>
      <c r="N17" s="17">
        <f t="shared" si="4"/>
        <v>0.85440974088973232</v>
      </c>
      <c r="O17" s="27"/>
      <c r="P17" s="27"/>
      <c r="Q17" s="30"/>
    </row>
    <row r="18" spans="1:19" x14ac:dyDescent="0.35">
      <c r="A18" s="17">
        <v>14</v>
      </c>
      <c r="B18" s="17" t="s">
        <v>126</v>
      </c>
      <c r="C18" s="17" t="s">
        <v>116</v>
      </c>
      <c r="D18" s="17" t="s">
        <v>12</v>
      </c>
      <c r="E18" s="17" t="s">
        <v>119</v>
      </c>
      <c r="F18" s="18">
        <v>18</v>
      </c>
      <c r="G18" s="18">
        <v>18.399999999999999</v>
      </c>
      <c r="H18" s="18">
        <f t="shared" si="1"/>
        <v>18.2</v>
      </c>
      <c r="I18" s="18">
        <v>21.19</v>
      </c>
      <c r="J18" s="18">
        <v>21.14</v>
      </c>
      <c r="K18" s="18">
        <f t="shared" si="2"/>
        <v>21.164999999999999</v>
      </c>
      <c r="L18" s="18">
        <f t="shared" si="3"/>
        <v>2.9649999999999999</v>
      </c>
      <c r="M18" s="18">
        <f t="shared" si="0"/>
        <v>-0.12799999999999923</v>
      </c>
      <c r="N18" s="17">
        <f t="shared" si="4"/>
        <v>1.0927777391009519</v>
      </c>
      <c r="O18" s="27"/>
      <c r="P18" s="27"/>
      <c r="Q18" s="30"/>
    </row>
    <row r="19" spans="1:19" x14ac:dyDescent="0.35">
      <c r="A19" s="17">
        <v>15</v>
      </c>
      <c r="B19" s="17" t="s">
        <v>127</v>
      </c>
      <c r="C19" s="17" t="s">
        <v>117</v>
      </c>
      <c r="D19" s="17" t="s">
        <v>12</v>
      </c>
      <c r="E19" s="17" t="s">
        <v>120</v>
      </c>
      <c r="F19" s="19">
        <v>20.010000000000002</v>
      </c>
      <c r="G19" s="19">
        <v>20.3</v>
      </c>
      <c r="H19" s="18">
        <f t="shared" si="1"/>
        <v>20.155000000000001</v>
      </c>
      <c r="I19" s="18">
        <v>20.28</v>
      </c>
      <c r="J19" s="18">
        <v>20.309999999999999</v>
      </c>
      <c r="K19" s="18">
        <f t="shared" si="2"/>
        <v>20.295000000000002</v>
      </c>
      <c r="L19" s="18">
        <f t="shared" si="3"/>
        <v>0.14000000000000057</v>
      </c>
      <c r="M19" s="18">
        <f t="shared" si="0"/>
        <v>-2.9529999999999985</v>
      </c>
      <c r="N19" s="17">
        <f t="shared" si="4"/>
        <v>7.7435762151498908</v>
      </c>
      <c r="O19" s="28"/>
      <c r="P19" s="28"/>
      <c r="Q19" s="31"/>
    </row>
    <row r="20" spans="1:19" x14ac:dyDescent="0.35">
      <c r="A20" s="21">
        <v>16</v>
      </c>
      <c r="B20" s="21" t="s">
        <v>130</v>
      </c>
      <c r="C20" s="21" t="s">
        <v>110</v>
      </c>
      <c r="D20" s="21" t="s">
        <v>109</v>
      </c>
      <c r="E20" s="23">
        <v>30</v>
      </c>
      <c r="F20" s="22">
        <v>19.329999999999998</v>
      </c>
      <c r="G20" s="22">
        <v>20.07</v>
      </c>
      <c r="H20" s="22">
        <f t="shared" si="1"/>
        <v>19.7</v>
      </c>
      <c r="I20" s="22">
        <v>27.18</v>
      </c>
      <c r="J20" s="22">
        <v>27.09</v>
      </c>
      <c r="K20" s="22">
        <f t="shared" si="2"/>
        <v>27.134999999999998</v>
      </c>
      <c r="L20" s="22">
        <f t="shared" si="3"/>
        <v>7.4349999999999987</v>
      </c>
      <c r="M20" s="22">
        <f t="shared" si="0"/>
        <v>4.3419999999999996</v>
      </c>
      <c r="N20" s="21">
        <f t="shared" si="4"/>
        <v>4.9309177553279085E-2</v>
      </c>
      <c r="O20" s="32">
        <f t="shared" si="5"/>
        <v>4.1879999999999988</v>
      </c>
      <c r="P20" s="32">
        <f t="shared" si="6"/>
        <v>1.0949999999999989</v>
      </c>
      <c r="Q20" s="35">
        <f t="shared" si="7"/>
        <v>0.4681361237172465</v>
      </c>
    </row>
    <row r="21" spans="1:19" x14ac:dyDescent="0.35">
      <c r="A21" s="21">
        <v>17</v>
      </c>
      <c r="B21" s="21" t="s">
        <v>131</v>
      </c>
      <c r="C21" s="21" t="s">
        <v>111</v>
      </c>
      <c r="D21" s="21" t="s">
        <v>109</v>
      </c>
      <c r="E21" s="23">
        <v>33</v>
      </c>
      <c r="F21" s="22">
        <v>16.170000000000002</v>
      </c>
      <c r="G21" s="22">
        <v>16.829999999999998</v>
      </c>
      <c r="H21" s="22">
        <f t="shared" si="1"/>
        <v>16.5</v>
      </c>
      <c r="I21" s="22">
        <v>19.63</v>
      </c>
      <c r="J21" s="22">
        <v>19.38</v>
      </c>
      <c r="K21" s="22">
        <f t="shared" si="2"/>
        <v>19.504999999999999</v>
      </c>
      <c r="L21" s="22">
        <f t="shared" si="3"/>
        <v>3.004999999999999</v>
      </c>
      <c r="M21" s="22">
        <f t="shared" si="0"/>
        <v>-8.8000000000000078E-2</v>
      </c>
      <c r="N21" s="21">
        <f t="shared" si="4"/>
        <v>1.0628956743585534</v>
      </c>
      <c r="O21" s="33"/>
      <c r="P21" s="33"/>
      <c r="Q21" s="36"/>
    </row>
    <row r="22" spans="1:19" x14ac:dyDescent="0.35">
      <c r="A22" s="21">
        <v>18</v>
      </c>
      <c r="B22" s="21" t="s">
        <v>132</v>
      </c>
      <c r="C22" s="21" t="s">
        <v>112</v>
      </c>
      <c r="D22" s="21" t="s">
        <v>109</v>
      </c>
      <c r="E22" s="23">
        <v>34</v>
      </c>
      <c r="F22" s="22">
        <v>17.16</v>
      </c>
      <c r="G22" s="22">
        <v>17.28</v>
      </c>
      <c r="H22" s="22">
        <f t="shared" si="1"/>
        <v>17.22</v>
      </c>
      <c r="I22" s="22">
        <v>19.41</v>
      </c>
      <c r="J22" s="22">
        <v>19.41</v>
      </c>
      <c r="K22" s="22">
        <f t="shared" si="2"/>
        <v>19.41</v>
      </c>
      <c r="L22" s="22">
        <f t="shared" si="3"/>
        <v>2.1900000000000013</v>
      </c>
      <c r="M22" s="22">
        <f t="shared" si="0"/>
        <v>-0.9029999999999978</v>
      </c>
      <c r="N22" s="21">
        <f t="shared" si="4"/>
        <v>1.8699503955029078</v>
      </c>
      <c r="O22" s="33"/>
      <c r="P22" s="33"/>
      <c r="Q22" s="36"/>
    </row>
    <row r="23" spans="1:19" x14ac:dyDescent="0.35">
      <c r="A23" s="21">
        <v>19</v>
      </c>
      <c r="B23" s="21" t="s">
        <v>133</v>
      </c>
      <c r="C23" s="21" t="s">
        <v>113</v>
      </c>
      <c r="D23" s="21" t="s">
        <v>109</v>
      </c>
      <c r="E23" s="23">
        <v>36</v>
      </c>
      <c r="F23" s="22">
        <v>16.32</v>
      </c>
      <c r="G23" s="22">
        <v>17</v>
      </c>
      <c r="H23" s="22">
        <f t="shared" si="1"/>
        <v>16.66</v>
      </c>
      <c r="I23" s="22">
        <v>19.850000000000001</v>
      </c>
      <c r="J23" s="22">
        <v>20.350000000000001</v>
      </c>
      <c r="K23" s="22">
        <f t="shared" si="2"/>
        <v>20.100000000000001</v>
      </c>
      <c r="L23" s="22">
        <f t="shared" si="3"/>
        <v>3.4400000000000013</v>
      </c>
      <c r="M23" s="22">
        <f t="shared" si="0"/>
        <v>0.3470000000000022</v>
      </c>
      <c r="N23" s="21">
        <f t="shared" si="4"/>
        <v>0.78621729214033054</v>
      </c>
      <c r="O23" s="33"/>
      <c r="P23" s="33"/>
      <c r="Q23" s="36"/>
    </row>
    <row r="24" spans="1:19" x14ac:dyDescent="0.35">
      <c r="A24" s="21">
        <v>20</v>
      </c>
      <c r="B24" s="21" t="s">
        <v>134</v>
      </c>
      <c r="C24" s="21" t="s">
        <v>114</v>
      </c>
      <c r="D24" s="21" t="s">
        <v>109</v>
      </c>
      <c r="E24" s="23">
        <v>39</v>
      </c>
      <c r="F24" s="22">
        <v>17.010000000000002</v>
      </c>
      <c r="G24" s="22">
        <v>17.39</v>
      </c>
      <c r="H24" s="22">
        <f t="shared" si="1"/>
        <v>17.200000000000003</v>
      </c>
      <c r="I24" s="22">
        <v>22.11</v>
      </c>
      <c r="J24" s="22">
        <v>22.03</v>
      </c>
      <c r="K24" s="22">
        <f t="shared" si="2"/>
        <v>22.07</v>
      </c>
      <c r="L24" s="22">
        <f t="shared" si="3"/>
        <v>4.8699999999999974</v>
      </c>
      <c r="M24" s="22">
        <f t="shared" si="0"/>
        <v>1.7769999999999984</v>
      </c>
      <c r="N24" s="21">
        <f t="shared" si="4"/>
        <v>0.29178952545461723</v>
      </c>
      <c r="O24" s="34"/>
      <c r="P24" s="34"/>
      <c r="Q24" s="37"/>
    </row>
    <row r="25" spans="1:19" x14ac:dyDescent="0.35">
      <c r="A25" s="17">
        <v>21</v>
      </c>
      <c r="B25" s="17" t="s">
        <v>135</v>
      </c>
      <c r="C25" s="17" t="s">
        <v>99</v>
      </c>
      <c r="D25" s="17" t="s">
        <v>98</v>
      </c>
      <c r="E25" s="17" t="s">
        <v>100</v>
      </c>
      <c r="F25" s="18">
        <v>17.760000000000002</v>
      </c>
      <c r="G25" s="18">
        <v>17.91</v>
      </c>
      <c r="H25" s="18">
        <f t="shared" si="1"/>
        <v>17.835000000000001</v>
      </c>
      <c r="I25" s="18">
        <v>20.97</v>
      </c>
      <c r="J25" s="18">
        <v>21.17</v>
      </c>
      <c r="K25" s="18">
        <f t="shared" si="2"/>
        <v>21.07</v>
      </c>
      <c r="L25" s="18">
        <f t="shared" si="3"/>
        <v>3.2349999999999994</v>
      </c>
      <c r="M25" s="18">
        <f>L25-L25</f>
        <v>0</v>
      </c>
      <c r="N25" s="17">
        <f t="shared" si="4"/>
        <v>1</v>
      </c>
      <c r="O25" s="26">
        <f t="shared" si="5"/>
        <v>3.093</v>
      </c>
      <c r="P25" s="26">
        <f t="shared" si="6"/>
        <v>0</v>
      </c>
      <c r="Q25" s="29">
        <f t="shared" si="7"/>
        <v>1</v>
      </c>
      <c r="S25" s="2"/>
    </row>
    <row r="26" spans="1:19" x14ac:dyDescent="0.35">
      <c r="A26" s="17">
        <v>22</v>
      </c>
      <c r="B26" s="17" t="s">
        <v>136</v>
      </c>
      <c r="C26" s="17" t="s">
        <v>101</v>
      </c>
      <c r="D26" s="17" t="s">
        <v>98</v>
      </c>
      <c r="E26" s="17" t="s">
        <v>102</v>
      </c>
      <c r="F26" s="18">
        <v>16.010000000000002</v>
      </c>
      <c r="G26" s="18">
        <v>16.36</v>
      </c>
      <c r="H26" s="18">
        <f t="shared" si="1"/>
        <v>16.185000000000002</v>
      </c>
      <c r="I26" s="18">
        <v>20.239999999999998</v>
      </c>
      <c r="J26" s="18">
        <v>20.25</v>
      </c>
      <c r="K26" s="18">
        <f t="shared" si="2"/>
        <v>20.244999999999997</v>
      </c>
      <c r="L26" s="18">
        <f t="shared" si="3"/>
        <v>4.0599999999999952</v>
      </c>
      <c r="M26" s="18">
        <f t="shared" ref="M26:M29" si="8">L26-L26</f>
        <v>0</v>
      </c>
      <c r="N26" s="17">
        <f t="shared" si="4"/>
        <v>1</v>
      </c>
      <c r="O26" s="27"/>
      <c r="P26" s="27"/>
      <c r="Q26" s="30"/>
    </row>
    <row r="27" spans="1:19" x14ac:dyDescent="0.35">
      <c r="A27" s="17">
        <v>23</v>
      </c>
      <c r="B27" s="17" t="s">
        <v>137</v>
      </c>
      <c r="C27" s="17" t="s">
        <v>103</v>
      </c>
      <c r="D27" s="17" t="s">
        <v>98</v>
      </c>
      <c r="E27" s="17" t="s">
        <v>104</v>
      </c>
      <c r="F27" s="18">
        <v>16.899999999999999</v>
      </c>
      <c r="G27" s="18">
        <v>17.04</v>
      </c>
      <c r="H27" s="18">
        <f t="shared" si="1"/>
        <v>16.97</v>
      </c>
      <c r="I27" s="18">
        <v>19.149999999999999</v>
      </c>
      <c r="J27" s="18">
        <v>19.23</v>
      </c>
      <c r="K27" s="18">
        <f t="shared" si="2"/>
        <v>19.189999999999998</v>
      </c>
      <c r="L27" s="18">
        <f t="shared" si="3"/>
        <v>2.2199999999999989</v>
      </c>
      <c r="M27" s="18">
        <f t="shared" si="8"/>
        <v>0</v>
      </c>
      <c r="N27" s="17">
        <f t="shared" si="4"/>
        <v>1</v>
      </c>
      <c r="O27" s="27"/>
      <c r="P27" s="27"/>
      <c r="Q27" s="30"/>
    </row>
    <row r="28" spans="1:19" x14ac:dyDescent="0.35">
      <c r="A28" s="17">
        <v>24</v>
      </c>
      <c r="B28" s="17" t="s">
        <v>138</v>
      </c>
      <c r="C28" s="17" t="s">
        <v>105</v>
      </c>
      <c r="D28" s="17" t="s">
        <v>98</v>
      </c>
      <c r="E28" s="17" t="s">
        <v>106</v>
      </c>
      <c r="F28" s="18">
        <v>17.66</v>
      </c>
      <c r="G28" s="18">
        <v>17.78</v>
      </c>
      <c r="H28" s="18">
        <f t="shared" si="1"/>
        <v>17.72</v>
      </c>
      <c r="I28" s="18">
        <v>19.98</v>
      </c>
      <c r="J28" s="18">
        <v>20.440000000000001</v>
      </c>
      <c r="K28" s="18">
        <f t="shared" si="2"/>
        <v>20.21</v>
      </c>
      <c r="L28" s="18">
        <f t="shared" si="3"/>
        <v>2.490000000000002</v>
      </c>
      <c r="M28" s="18">
        <f t="shared" si="8"/>
        <v>0</v>
      </c>
      <c r="N28" s="17">
        <f t="shared" si="4"/>
        <v>1</v>
      </c>
      <c r="O28" s="27"/>
      <c r="P28" s="27"/>
      <c r="Q28" s="30"/>
    </row>
    <row r="29" spans="1:19" x14ac:dyDescent="0.35">
      <c r="A29" s="17">
        <v>25</v>
      </c>
      <c r="B29" s="17" t="s">
        <v>139</v>
      </c>
      <c r="C29" s="17" t="s">
        <v>107</v>
      </c>
      <c r="D29" s="17" t="s">
        <v>98</v>
      </c>
      <c r="E29" s="17" t="s">
        <v>108</v>
      </c>
      <c r="F29" s="18">
        <v>17.21</v>
      </c>
      <c r="G29" s="18">
        <v>17.88</v>
      </c>
      <c r="H29" s="18">
        <f t="shared" si="1"/>
        <v>17.545000000000002</v>
      </c>
      <c r="I29" s="18">
        <v>21</v>
      </c>
      <c r="J29" s="18">
        <v>21.01</v>
      </c>
      <c r="K29" s="18">
        <f t="shared" si="2"/>
        <v>21.005000000000003</v>
      </c>
      <c r="L29" s="18">
        <f t="shared" si="3"/>
        <v>3.4600000000000009</v>
      </c>
      <c r="M29" s="18">
        <f t="shared" si="8"/>
        <v>0</v>
      </c>
      <c r="N29" s="17">
        <f t="shared" si="4"/>
        <v>1</v>
      </c>
      <c r="O29" s="28"/>
      <c r="P29" s="28"/>
      <c r="Q29" s="31"/>
    </row>
    <row r="35" spans="19:19" x14ac:dyDescent="0.35">
      <c r="S35" t="s">
        <v>170</v>
      </c>
    </row>
  </sheetData>
  <mergeCells count="31">
    <mergeCell ref="O25:O29"/>
    <mergeCell ref="P25:P29"/>
    <mergeCell ref="Q25:Q29"/>
    <mergeCell ref="O15:O19"/>
    <mergeCell ref="P15:P19"/>
    <mergeCell ref="Q15:Q19"/>
    <mergeCell ref="O20:O24"/>
    <mergeCell ref="P20:P24"/>
    <mergeCell ref="Q20:Q24"/>
    <mergeCell ref="N1:N4"/>
    <mergeCell ref="O5:O9"/>
    <mergeCell ref="P5:P9"/>
    <mergeCell ref="Q5:Q9"/>
    <mergeCell ref="O10:O14"/>
    <mergeCell ref="P10:P14"/>
    <mergeCell ref="Q10:Q14"/>
    <mergeCell ref="O2:O4"/>
    <mergeCell ref="P2:P4"/>
    <mergeCell ref="Q2:Q4"/>
    <mergeCell ref="O1:Q1"/>
    <mergeCell ref="A1:A4"/>
    <mergeCell ref="B1:B4"/>
    <mergeCell ref="C1:C4"/>
    <mergeCell ref="D1:D4"/>
    <mergeCell ref="E1:E4"/>
    <mergeCell ref="M1:M4"/>
    <mergeCell ref="F1:H2"/>
    <mergeCell ref="I3:K3"/>
    <mergeCell ref="F3:H3"/>
    <mergeCell ref="I1:K2"/>
    <mergeCell ref="L1:L4"/>
  </mergeCells>
  <phoneticPr fontId="4" type="noConversion"/>
  <pageMargins left="0.7" right="0.7" top="0.75" bottom="0.75" header="0.3" footer="0.3"/>
  <pageSetup paperSize="9" orientation="portrait" r:id="rId1"/>
  <ignoredErrors>
    <ignoredError sqref="H20:H24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4437-5375-4E1D-A56F-A285F901BD47}">
  <dimension ref="A1:S30"/>
  <sheetViews>
    <sheetView topLeftCell="J1" workbookViewId="0">
      <selection activeCell="A2" sqref="A1:Q30"/>
    </sheetView>
  </sheetViews>
  <sheetFormatPr defaultRowHeight="14.5" x14ac:dyDescent="0.35"/>
  <cols>
    <col min="3" max="3" width="11.6328125" customWidth="1"/>
    <col min="4" max="4" width="15.453125" customWidth="1"/>
    <col min="5" max="5" width="22.08984375" hidden="1" customWidth="1"/>
    <col min="14" max="14" width="12.36328125" customWidth="1"/>
    <col min="17" max="17" width="11.54296875" customWidth="1"/>
  </cols>
  <sheetData>
    <row r="1" spans="1:17" x14ac:dyDescent="0.35">
      <c r="A1" t="s">
        <v>169</v>
      </c>
    </row>
    <row r="2" spans="1:17" x14ac:dyDescent="0.35">
      <c r="A2" s="25" t="s">
        <v>153</v>
      </c>
      <c r="B2" s="25" t="s">
        <v>154</v>
      </c>
      <c r="C2" s="25" t="s">
        <v>1</v>
      </c>
      <c r="D2" s="25" t="s">
        <v>155</v>
      </c>
      <c r="E2" s="25" t="s">
        <v>168</v>
      </c>
      <c r="F2" s="24" t="s">
        <v>157</v>
      </c>
      <c r="G2" s="24"/>
      <c r="H2" s="24"/>
      <c r="I2" s="24" t="s">
        <v>156</v>
      </c>
      <c r="J2" s="24"/>
      <c r="K2" s="24"/>
      <c r="L2" s="24" t="s">
        <v>158</v>
      </c>
      <c r="M2" s="24" t="s">
        <v>159</v>
      </c>
      <c r="N2" s="25" t="s">
        <v>160</v>
      </c>
      <c r="O2" s="38" t="s">
        <v>167</v>
      </c>
      <c r="P2" s="38"/>
      <c r="Q2" s="38"/>
    </row>
    <row r="3" spans="1:17" ht="15" customHeight="1" x14ac:dyDescent="0.35">
      <c r="A3" s="25"/>
      <c r="B3" s="25"/>
      <c r="C3" s="25"/>
      <c r="D3" s="25"/>
      <c r="E3" s="25"/>
      <c r="F3" s="24"/>
      <c r="G3" s="24"/>
      <c r="H3" s="24"/>
      <c r="I3" s="24"/>
      <c r="J3" s="24"/>
      <c r="K3" s="24"/>
      <c r="L3" s="24"/>
      <c r="M3" s="24"/>
      <c r="N3" s="25"/>
      <c r="O3" s="24" t="s">
        <v>158</v>
      </c>
      <c r="P3" s="24" t="s">
        <v>159</v>
      </c>
      <c r="Q3" s="25" t="s">
        <v>160</v>
      </c>
    </row>
    <row r="4" spans="1:17" x14ac:dyDescent="0.35">
      <c r="A4" s="25"/>
      <c r="B4" s="25"/>
      <c r="C4" s="25"/>
      <c r="D4" s="25"/>
      <c r="E4" s="25"/>
      <c r="F4" s="24" t="s">
        <v>162</v>
      </c>
      <c r="G4" s="24"/>
      <c r="H4" s="24"/>
      <c r="I4" s="24" t="s">
        <v>161</v>
      </c>
      <c r="J4" s="24"/>
      <c r="K4" s="24"/>
      <c r="L4" s="24"/>
      <c r="M4" s="24"/>
      <c r="N4" s="25"/>
      <c r="O4" s="24"/>
      <c r="P4" s="24"/>
      <c r="Q4" s="25"/>
    </row>
    <row r="5" spans="1:17" x14ac:dyDescent="0.35">
      <c r="A5" s="25"/>
      <c r="B5" s="25"/>
      <c r="C5" s="25"/>
      <c r="D5" s="25"/>
      <c r="E5" s="25"/>
      <c r="F5" s="20" t="s">
        <v>163</v>
      </c>
      <c r="G5" s="20" t="s">
        <v>164</v>
      </c>
      <c r="H5" s="20" t="s">
        <v>165</v>
      </c>
      <c r="I5" s="20" t="s">
        <v>163</v>
      </c>
      <c r="J5" s="20" t="s">
        <v>164</v>
      </c>
      <c r="K5" s="20" t="s">
        <v>165</v>
      </c>
      <c r="L5" s="24"/>
      <c r="M5" s="24"/>
      <c r="N5" s="25"/>
      <c r="O5" s="24"/>
      <c r="P5" s="24"/>
      <c r="Q5" s="25"/>
    </row>
    <row r="6" spans="1:17" x14ac:dyDescent="0.35">
      <c r="A6" s="17">
        <v>1</v>
      </c>
      <c r="B6" s="17" t="s">
        <v>19</v>
      </c>
      <c r="C6" s="17" t="s">
        <v>3</v>
      </c>
      <c r="D6" s="17" t="s">
        <v>2</v>
      </c>
      <c r="E6" s="17" t="s">
        <v>32</v>
      </c>
      <c r="F6" s="18">
        <v>15.11</v>
      </c>
      <c r="G6" s="18">
        <v>15.07</v>
      </c>
      <c r="H6" s="18">
        <f>AVERAGE(F6:G6)</f>
        <v>15.09</v>
      </c>
      <c r="I6" s="18">
        <v>18.010000000000002</v>
      </c>
      <c r="J6" s="18">
        <v>18.14</v>
      </c>
      <c r="K6" s="18">
        <f>AVERAGE(I6:J6)</f>
        <v>18.075000000000003</v>
      </c>
      <c r="L6" s="18">
        <f>K6-H6</f>
        <v>2.985000000000003</v>
      </c>
      <c r="M6" s="18">
        <f t="shared" ref="M6:M20" si="0">L6-(AVERAGE($L$21:$L$25))</f>
        <v>-1.2029999999999967</v>
      </c>
      <c r="N6" s="17">
        <f>2^(-M6)</f>
        <v>2.3021789826555201</v>
      </c>
      <c r="O6" s="26">
        <f>AVERAGE(K6:K10)-AVERAGE(H6:H10)</f>
        <v>2.7760000000000034</v>
      </c>
      <c r="P6" s="26">
        <f>O6-$O$21</f>
        <v>-1.4119999999999955</v>
      </c>
      <c r="Q6" s="29">
        <f>2^(-P6)</f>
        <v>2.6610580821613641</v>
      </c>
    </row>
    <row r="7" spans="1:17" x14ac:dyDescent="0.35">
      <c r="A7" s="17">
        <v>2</v>
      </c>
      <c r="B7" s="17" t="s">
        <v>20</v>
      </c>
      <c r="C7" s="17" t="s">
        <v>4</v>
      </c>
      <c r="D7" s="17" t="s">
        <v>2</v>
      </c>
      <c r="E7" s="17" t="s">
        <v>33</v>
      </c>
      <c r="F7" s="18">
        <v>18.82</v>
      </c>
      <c r="G7" s="18">
        <v>18.23</v>
      </c>
      <c r="H7" s="18">
        <f t="shared" ref="H7:H20" si="1">AVERAGE(F7:G7)</f>
        <v>18.524999999999999</v>
      </c>
      <c r="I7" s="18">
        <v>20.46</v>
      </c>
      <c r="J7" s="18">
        <v>20.190000000000001</v>
      </c>
      <c r="K7" s="18">
        <f t="shared" ref="K7:K20" si="2">AVERAGE(I7:J7)</f>
        <v>20.325000000000003</v>
      </c>
      <c r="L7" s="18">
        <f t="shared" ref="L7:L20" si="3">K7-H7</f>
        <v>1.8000000000000043</v>
      </c>
      <c r="M7" s="18">
        <f t="shared" si="0"/>
        <v>-2.3879999999999955</v>
      </c>
      <c r="N7" s="17">
        <f t="shared" ref="N7:N25" si="4">2^(-M7)</f>
        <v>5.2343122858200237</v>
      </c>
      <c r="O7" s="27"/>
      <c r="P7" s="27"/>
      <c r="Q7" s="30"/>
    </row>
    <row r="8" spans="1:17" x14ac:dyDescent="0.35">
      <c r="A8" s="17">
        <v>3</v>
      </c>
      <c r="B8" s="17" t="s">
        <v>21</v>
      </c>
      <c r="C8" s="17" t="s">
        <v>5</v>
      </c>
      <c r="D8" s="17" t="s">
        <v>2</v>
      </c>
      <c r="E8" s="17" t="s">
        <v>34</v>
      </c>
      <c r="F8" s="18">
        <v>16.559999999999999</v>
      </c>
      <c r="G8" s="18">
        <v>17.75</v>
      </c>
      <c r="H8" s="18">
        <f t="shared" si="1"/>
        <v>17.155000000000001</v>
      </c>
      <c r="I8" s="18">
        <v>19.75</v>
      </c>
      <c r="J8" s="18">
        <v>19.71</v>
      </c>
      <c r="K8" s="18">
        <f t="shared" si="2"/>
        <v>19.73</v>
      </c>
      <c r="L8" s="18">
        <f t="shared" si="3"/>
        <v>2.5749999999999993</v>
      </c>
      <c r="M8" s="18">
        <f t="shared" si="0"/>
        <v>-1.6130000000000004</v>
      </c>
      <c r="N8" s="17">
        <f t="shared" si="4"/>
        <v>3.0588725557655359</v>
      </c>
      <c r="O8" s="27"/>
      <c r="P8" s="27"/>
      <c r="Q8" s="30"/>
    </row>
    <row r="9" spans="1:17" x14ac:dyDescent="0.35">
      <c r="A9" s="17">
        <v>4</v>
      </c>
      <c r="B9" s="17" t="s">
        <v>22</v>
      </c>
      <c r="C9" s="17" t="s">
        <v>6</v>
      </c>
      <c r="D9" s="17" t="s">
        <v>2</v>
      </c>
      <c r="E9" s="17" t="s">
        <v>35</v>
      </c>
      <c r="F9" s="18">
        <v>16.13</v>
      </c>
      <c r="G9" s="18">
        <v>15.98</v>
      </c>
      <c r="H9" s="18">
        <f t="shared" si="1"/>
        <v>16.055</v>
      </c>
      <c r="I9" s="18">
        <v>19.18</v>
      </c>
      <c r="J9" s="18">
        <v>19.64</v>
      </c>
      <c r="K9" s="18">
        <f t="shared" si="2"/>
        <v>19.41</v>
      </c>
      <c r="L9" s="18">
        <f t="shared" si="3"/>
        <v>3.3550000000000004</v>
      </c>
      <c r="M9" s="18">
        <f t="shared" si="0"/>
        <v>-0.8329999999999993</v>
      </c>
      <c r="N9" s="17">
        <f t="shared" si="4"/>
        <v>1.781385801213361</v>
      </c>
      <c r="O9" s="27"/>
      <c r="P9" s="27"/>
      <c r="Q9" s="30"/>
    </row>
    <row r="10" spans="1:17" x14ac:dyDescent="0.35">
      <c r="A10" s="17">
        <v>5</v>
      </c>
      <c r="B10" s="17" t="s">
        <v>128</v>
      </c>
      <c r="C10" s="17" t="s">
        <v>122</v>
      </c>
      <c r="D10" s="17" t="s">
        <v>2</v>
      </c>
      <c r="E10" s="17" t="s">
        <v>123</v>
      </c>
      <c r="F10" s="19">
        <v>17.100000000000001</v>
      </c>
      <c r="G10" s="19">
        <v>17.72</v>
      </c>
      <c r="H10" s="18">
        <f t="shared" si="1"/>
        <v>17.41</v>
      </c>
      <c r="I10" s="18">
        <v>20.56</v>
      </c>
      <c r="J10" s="18">
        <v>20.59</v>
      </c>
      <c r="K10" s="18">
        <f t="shared" si="2"/>
        <v>20.574999999999999</v>
      </c>
      <c r="L10" s="18">
        <f t="shared" si="3"/>
        <v>3.1649999999999991</v>
      </c>
      <c r="M10" s="18">
        <f t="shared" si="0"/>
        <v>-1.0230000000000006</v>
      </c>
      <c r="N10" s="17">
        <f t="shared" si="4"/>
        <v>2.0321402859874045</v>
      </c>
      <c r="O10" s="28"/>
      <c r="P10" s="28"/>
      <c r="Q10" s="31"/>
    </row>
    <row r="11" spans="1:17" x14ac:dyDescent="0.35">
      <c r="A11" s="21">
        <v>6</v>
      </c>
      <c r="B11" s="21" t="s">
        <v>23</v>
      </c>
      <c r="C11" s="21" t="s">
        <v>8</v>
      </c>
      <c r="D11" s="21" t="s">
        <v>141</v>
      </c>
      <c r="E11" s="21" t="s">
        <v>31</v>
      </c>
      <c r="F11" s="22">
        <v>18.03</v>
      </c>
      <c r="G11" s="22">
        <v>16.78</v>
      </c>
      <c r="H11" s="22">
        <f t="shared" si="1"/>
        <v>17.405000000000001</v>
      </c>
      <c r="I11" s="22">
        <v>19.93</v>
      </c>
      <c r="J11" s="22">
        <v>19.309999999999999</v>
      </c>
      <c r="K11" s="22">
        <f t="shared" si="2"/>
        <v>19.619999999999997</v>
      </c>
      <c r="L11" s="22">
        <f t="shared" si="3"/>
        <v>2.2149999999999963</v>
      </c>
      <c r="M11" s="22">
        <f t="shared" si="0"/>
        <v>-1.9730000000000034</v>
      </c>
      <c r="N11" s="21">
        <f t="shared" si="4"/>
        <v>3.9258362554139259</v>
      </c>
      <c r="O11" s="32">
        <f t="shared" ref="O11:O21" si="5">AVERAGE(K11:K15)-AVERAGE(H11:H15)</f>
        <v>2.3590000000000018</v>
      </c>
      <c r="P11" s="32">
        <f>O11-$O$21</f>
        <v>-1.8289999999999971</v>
      </c>
      <c r="Q11" s="35">
        <f t="shared" ref="Q11:Q21" si="6">2^(-P11)</f>
        <v>3.5529071833696126</v>
      </c>
    </row>
    <row r="12" spans="1:17" x14ac:dyDescent="0.35">
      <c r="A12" s="21">
        <v>7</v>
      </c>
      <c r="B12" s="21" t="s">
        <v>24</v>
      </c>
      <c r="C12" s="21" t="s">
        <v>9</v>
      </c>
      <c r="D12" s="21" t="s">
        <v>141</v>
      </c>
      <c r="E12" s="21" t="s">
        <v>31</v>
      </c>
      <c r="F12" s="22">
        <v>20.03</v>
      </c>
      <c r="G12" s="22">
        <v>19.829999999999998</v>
      </c>
      <c r="H12" s="22">
        <f t="shared" si="1"/>
        <v>19.93</v>
      </c>
      <c r="I12" s="22">
        <v>21.66</v>
      </c>
      <c r="J12" s="22">
        <v>21.2</v>
      </c>
      <c r="K12" s="22">
        <f t="shared" si="2"/>
        <v>21.43</v>
      </c>
      <c r="L12" s="22">
        <f t="shared" si="3"/>
        <v>1.5</v>
      </c>
      <c r="M12" s="22">
        <f t="shared" si="0"/>
        <v>-2.6879999999999997</v>
      </c>
      <c r="N12" s="21">
        <f t="shared" si="4"/>
        <v>6.4441943283900009</v>
      </c>
      <c r="O12" s="33"/>
      <c r="P12" s="33"/>
      <c r="Q12" s="36"/>
    </row>
    <row r="13" spans="1:17" x14ac:dyDescent="0.35">
      <c r="A13" s="21">
        <v>8</v>
      </c>
      <c r="B13" s="21" t="s">
        <v>25</v>
      </c>
      <c r="C13" s="21" t="s">
        <v>10</v>
      </c>
      <c r="D13" s="21" t="s">
        <v>141</v>
      </c>
      <c r="E13" s="21" t="s">
        <v>31</v>
      </c>
      <c r="F13" s="22">
        <v>16.23</v>
      </c>
      <c r="G13" s="22">
        <v>16.84</v>
      </c>
      <c r="H13" s="22">
        <f t="shared" si="1"/>
        <v>16.535</v>
      </c>
      <c r="I13" s="22">
        <v>20</v>
      </c>
      <c r="J13" s="22">
        <v>20.16</v>
      </c>
      <c r="K13" s="22">
        <f t="shared" si="2"/>
        <v>20.079999999999998</v>
      </c>
      <c r="L13" s="22">
        <f t="shared" si="3"/>
        <v>3.5449999999999982</v>
      </c>
      <c r="M13" s="22">
        <f t="shared" si="0"/>
        <v>-0.64300000000000157</v>
      </c>
      <c r="N13" s="21">
        <f t="shared" si="4"/>
        <v>1.5615729852147839</v>
      </c>
      <c r="O13" s="33"/>
      <c r="P13" s="33"/>
      <c r="Q13" s="36"/>
    </row>
    <row r="14" spans="1:17" x14ac:dyDescent="0.35">
      <c r="A14" s="21">
        <v>9</v>
      </c>
      <c r="B14" s="21" t="s">
        <v>26</v>
      </c>
      <c r="C14" s="21" t="s">
        <v>11</v>
      </c>
      <c r="D14" s="21" t="s">
        <v>141</v>
      </c>
      <c r="E14" s="21" t="s">
        <v>31</v>
      </c>
      <c r="F14" s="22">
        <v>16.82</v>
      </c>
      <c r="G14" s="22">
        <v>16.82</v>
      </c>
      <c r="H14" s="22">
        <f t="shared" si="1"/>
        <v>16.82</v>
      </c>
      <c r="I14" s="22">
        <v>18.03</v>
      </c>
      <c r="J14" s="22">
        <v>18.13</v>
      </c>
      <c r="K14" s="22">
        <f t="shared" si="2"/>
        <v>18.079999999999998</v>
      </c>
      <c r="L14" s="22">
        <f t="shared" si="3"/>
        <v>1.259999999999998</v>
      </c>
      <c r="M14" s="22">
        <f t="shared" si="0"/>
        <v>-2.9280000000000017</v>
      </c>
      <c r="N14" s="21">
        <f t="shared" si="4"/>
        <v>7.6105462106544008</v>
      </c>
      <c r="O14" s="33"/>
      <c r="P14" s="33"/>
      <c r="Q14" s="36"/>
    </row>
    <row r="15" spans="1:17" x14ac:dyDescent="0.35">
      <c r="A15" s="21">
        <v>10</v>
      </c>
      <c r="B15" s="21" t="s">
        <v>129</v>
      </c>
      <c r="C15" s="21" t="s">
        <v>142</v>
      </c>
      <c r="D15" s="21" t="s">
        <v>141</v>
      </c>
      <c r="E15" s="21" t="s">
        <v>124</v>
      </c>
      <c r="F15" s="22">
        <v>17.600000000000001</v>
      </c>
      <c r="G15" s="22">
        <v>17.78</v>
      </c>
      <c r="H15" s="22">
        <f t="shared" si="1"/>
        <v>17.690000000000001</v>
      </c>
      <c r="I15" s="22">
        <v>20.86</v>
      </c>
      <c r="J15" s="22">
        <v>21.07</v>
      </c>
      <c r="K15" s="22">
        <f t="shared" si="2"/>
        <v>20.965</v>
      </c>
      <c r="L15" s="22">
        <f t="shared" si="3"/>
        <v>3.2749999999999986</v>
      </c>
      <c r="M15" s="22">
        <f t="shared" si="0"/>
        <v>-0.91300000000000114</v>
      </c>
      <c r="N15" s="21">
        <f t="shared" si="4"/>
        <v>1.882956929082414</v>
      </c>
      <c r="O15" s="34"/>
      <c r="P15" s="34"/>
      <c r="Q15" s="37"/>
    </row>
    <row r="16" spans="1:17" x14ac:dyDescent="0.35">
      <c r="A16" s="17">
        <v>11</v>
      </c>
      <c r="B16" s="17" t="s">
        <v>27</v>
      </c>
      <c r="C16" s="17" t="s">
        <v>13</v>
      </c>
      <c r="D16" s="17" t="s">
        <v>12</v>
      </c>
      <c r="E16" s="17" t="s">
        <v>36</v>
      </c>
      <c r="F16" s="18">
        <v>16.27</v>
      </c>
      <c r="G16" s="18">
        <v>16.829999999999998</v>
      </c>
      <c r="H16" s="18">
        <f t="shared" si="1"/>
        <v>16.549999999999997</v>
      </c>
      <c r="I16" s="18">
        <v>19.8</v>
      </c>
      <c r="J16" s="18">
        <v>20.010000000000002</v>
      </c>
      <c r="K16" s="18">
        <f t="shared" si="2"/>
        <v>19.905000000000001</v>
      </c>
      <c r="L16" s="18">
        <f t="shared" si="3"/>
        <v>3.355000000000004</v>
      </c>
      <c r="M16" s="18">
        <f t="shared" si="0"/>
        <v>-0.83299999999999574</v>
      </c>
      <c r="N16" s="17">
        <f t="shared" si="4"/>
        <v>1.7813858012133565</v>
      </c>
      <c r="O16" s="26">
        <f t="shared" si="5"/>
        <v>2.6490000000000009</v>
      </c>
      <c r="P16" s="26">
        <f>O16-$O$21</f>
        <v>-1.5389999999999979</v>
      </c>
      <c r="Q16" s="29">
        <f t="shared" si="6"/>
        <v>2.9059300991427355</v>
      </c>
    </row>
    <row r="17" spans="1:19" x14ac:dyDescent="0.35">
      <c r="A17" s="17">
        <v>12</v>
      </c>
      <c r="B17" s="17" t="s">
        <v>28</v>
      </c>
      <c r="C17" s="17" t="s">
        <v>14</v>
      </c>
      <c r="D17" s="17" t="s">
        <v>12</v>
      </c>
      <c r="E17" s="17" t="s">
        <v>37</v>
      </c>
      <c r="F17" s="18">
        <v>16.829999999999998</v>
      </c>
      <c r="G17" s="18">
        <v>17.23</v>
      </c>
      <c r="H17" s="18">
        <f t="shared" si="1"/>
        <v>17.03</v>
      </c>
      <c r="I17" s="18">
        <v>20.309999999999999</v>
      </c>
      <c r="J17" s="18">
        <v>20.68</v>
      </c>
      <c r="K17" s="18">
        <f t="shared" si="2"/>
        <v>20.494999999999997</v>
      </c>
      <c r="L17" s="18">
        <f t="shared" si="3"/>
        <v>3.4649999999999963</v>
      </c>
      <c r="M17" s="18">
        <f t="shared" si="0"/>
        <v>-0.72300000000000342</v>
      </c>
      <c r="N17" s="17">
        <f t="shared" si="4"/>
        <v>1.6506108170253184</v>
      </c>
      <c r="O17" s="27"/>
      <c r="P17" s="27"/>
      <c r="Q17" s="30"/>
    </row>
    <row r="18" spans="1:19" x14ac:dyDescent="0.35">
      <c r="A18" s="17">
        <v>13</v>
      </c>
      <c r="B18" s="17" t="s">
        <v>125</v>
      </c>
      <c r="C18" s="17" t="s">
        <v>115</v>
      </c>
      <c r="D18" s="17" t="s">
        <v>12</v>
      </c>
      <c r="E18" s="17" t="s">
        <v>118</v>
      </c>
      <c r="F18" s="18">
        <v>18.649999999999999</v>
      </c>
      <c r="G18" s="18">
        <v>18.8</v>
      </c>
      <c r="H18" s="18">
        <f t="shared" si="1"/>
        <v>18.725000000000001</v>
      </c>
      <c r="I18" s="18">
        <v>20.99</v>
      </c>
      <c r="J18" s="18">
        <v>23.1</v>
      </c>
      <c r="K18" s="18">
        <f t="shared" si="2"/>
        <v>22.045000000000002</v>
      </c>
      <c r="L18" s="18">
        <f t="shared" si="3"/>
        <v>3.3200000000000003</v>
      </c>
      <c r="M18" s="18">
        <f t="shared" si="0"/>
        <v>-0.86799999999999944</v>
      </c>
      <c r="N18" s="17">
        <f t="shared" si="4"/>
        <v>1.8251309770869029</v>
      </c>
      <c r="O18" s="27"/>
      <c r="P18" s="27"/>
      <c r="Q18" s="30"/>
    </row>
    <row r="19" spans="1:19" x14ac:dyDescent="0.35">
      <c r="A19" s="17">
        <v>14</v>
      </c>
      <c r="B19" s="17" t="s">
        <v>126</v>
      </c>
      <c r="C19" s="17" t="s">
        <v>116</v>
      </c>
      <c r="D19" s="17" t="s">
        <v>12</v>
      </c>
      <c r="E19" s="17" t="s">
        <v>119</v>
      </c>
      <c r="F19" s="18">
        <v>18</v>
      </c>
      <c r="G19" s="18">
        <v>18.399999999999999</v>
      </c>
      <c r="H19" s="18">
        <f t="shared" si="1"/>
        <v>18.2</v>
      </c>
      <c r="I19" s="18">
        <v>21.19</v>
      </c>
      <c r="J19" s="18">
        <v>21.14</v>
      </c>
      <c r="K19" s="18">
        <f t="shared" si="2"/>
        <v>21.164999999999999</v>
      </c>
      <c r="L19" s="18">
        <f t="shared" si="3"/>
        <v>2.9649999999999999</v>
      </c>
      <c r="M19" s="18">
        <f t="shared" si="0"/>
        <v>-1.2229999999999999</v>
      </c>
      <c r="N19" s="17">
        <f t="shared" si="4"/>
        <v>2.3343162036369347</v>
      </c>
      <c r="O19" s="27"/>
      <c r="P19" s="27"/>
      <c r="Q19" s="30"/>
    </row>
    <row r="20" spans="1:19" x14ac:dyDescent="0.35">
      <c r="A20" s="17">
        <v>15</v>
      </c>
      <c r="B20" s="17" t="s">
        <v>127</v>
      </c>
      <c r="C20" s="17" t="s">
        <v>117</v>
      </c>
      <c r="D20" s="17" t="s">
        <v>12</v>
      </c>
      <c r="E20" s="17" t="s">
        <v>120</v>
      </c>
      <c r="F20" s="19">
        <v>20.010000000000002</v>
      </c>
      <c r="G20" s="19">
        <v>20.3</v>
      </c>
      <c r="H20" s="18">
        <f t="shared" si="1"/>
        <v>20.155000000000001</v>
      </c>
      <c r="I20" s="18">
        <v>20.28</v>
      </c>
      <c r="J20" s="18">
        <v>20.309999999999999</v>
      </c>
      <c r="K20" s="18">
        <f t="shared" si="2"/>
        <v>20.295000000000002</v>
      </c>
      <c r="L20" s="18">
        <f t="shared" si="3"/>
        <v>0.14000000000000057</v>
      </c>
      <c r="M20" s="18">
        <f t="shared" si="0"/>
        <v>-4.0479999999999992</v>
      </c>
      <c r="N20" s="17">
        <f t="shared" si="4"/>
        <v>16.54129177996742</v>
      </c>
      <c r="O20" s="28"/>
      <c r="P20" s="28"/>
      <c r="Q20" s="31"/>
    </row>
    <row r="21" spans="1:19" x14ac:dyDescent="0.35">
      <c r="A21" s="21">
        <v>16</v>
      </c>
      <c r="B21" s="21" t="s">
        <v>130</v>
      </c>
      <c r="C21" s="21" t="s">
        <v>110</v>
      </c>
      <c r="D21" s="21" t="s">
        <v>109</v>
      </c>
      <c r="E21" s="23">
        <v>30</v>
      </c>
      <c r="F21" s="22">
        <v>19.329999999999998</v>
      </c>
      <c r="G21" s="22">
        <v>20.07</v>
      </c>
      <c r="H21" s="22">
        <f t="shared" ref="H21:H25" si="7">AVERAGE(F21:G21)</f>
        <v>19.7</v>
      </c>
      <c r="I21" s="22">
        <v>27.18</v>
      </c>
      <c r="J21" s="22">
        <v>27.09</v>
      </c>
      <c r="K21" s="22">
        <f t="shared" ref="K21:K25" si="8">AVERAGE(I21:J21)</f>
        <v>27.134999999999998</v>
      </c>
      <c r="L21" s="22">
        <f t="shared" ref="L21:L25" si="9">K21-H21</f>
        <v>7.4349999999999987</v>
      </c>
      <c r="M21" s="22">
        <f>L21-L21</f>
        <v>0</v>
      </c>
      <c r="N21" s="21">
        <f t="shared" si="4"/>
        <v>1</v>
      </c>
      <c r="O21" s="32">
        <f t="shared" si="5"/>
        <v>4.1879999999999988</v>
      </c>
      <c r="P21" s="32">
        <f>O21-$O$21</f>
        <v>0</v>
      </c>
      <c r="Q21" s="35">
        <f t="shared" si="6"/>
        <v>1</v>
      </c>
      <c r="S21" s="2"/>
    </row>
    <row r="22" spans="1:19" x14ac:dyDescent="0.35">
      <c r="A22" s="21">
        <v>17</v>
      </c>
      <c r="B22" s="21" t="s">
        <v>131</v>
      </c>
      <c r="C22" s="21" t="s">
        <v>111</v>
      </c>
      <c r="D22" s="21" t="s">
        <v>109</v>
      </c>
      <c r="E22" s="23">
        <v>33</v>
      </c>
      <c r="F22" s="22">
        <v>16.170000000000002</v>
      </c>
      <c r="G22" s="22">
        <v>16.829999999999998</v>
      </c>
      <c r="H22" s="22">
        <f t="shared" si="7"/>
        <v>16.5</v>
      </c>
      <c r="I22" s="22">
        <v>19.63</v>
      </c>
      <c r="J22" s="22">
        <v>19.38</v>
      </c>
      <c r="K22" s="22">
        <f t="shared" si="8"/>
        <v>19.504999999999999</v>
      </c>
      <c r="L22" s="22">
        <f t="shared" si="9"/>
        <v>3.004999999999999</v>
      </c>
      <c r="M22" s="22">
        <f t="shared" ref="M22:M25" si="10">L22-L22</f>
        <v>0</v>
      </c>
      <c r="N22" s="21">
        <f t="shared" si="4"/>
        <v>1</v>
      </c>
      <c r="O22" s="33"/>
      <c r="P22" s="33"/>
      <c r="Q22" s="36"/>
    </row>
    <row r="23" spans="1:19" x14ac:dyDescent="0.35">
      <c r="A23" s="21">
        <v>18</v>
      </c>
      <c r="B23" s="21" t="s">
        <v>132</v>
      </c>
      <c r="C23" s="21" t="s">
        <v>112</v>
      </c>
      <c r="D23" s="21" t="s">
        <v>109</v>
      </c>
      <c r="E23" s="23">
        <v>34</v>
      </c>
      <c r="F23" s="22">
        <v>17.16</v>
      </c>
      <c r="G23" s="22">
        <v>17.28</v>
      </c>
      <c r="H23" s="22">
        <f t="shared" si="7"/>
        <v>17.22</v>
      </c>
      <c r="I23" s="22">
        <v>19.41</v>
      </c>
      <c r="J23" s="22">
        <v>19.41</v>
      </c>
      <c r="K23" s="22">
        <f t="shared" si="8"/>
        <v>19.41</v>
      </c>
      <c r="L23" s="22">
        <f t="shared" si="9"/>
        <v>2.1900000000000013</v>
      </c>
      <c r="M23" s="22">
        <f t="shared" si="10"/>
        <v>0</v>
      </c>
      <c r="N23" s="21">
        <f t="shared" si="4"/>
        <v>1</v>
      </c>
      <c r="O23" s="33"/>
      <c r="P23" s="33"/>
      <c r="Q23" s="36"/>
    </row>
    <row r="24" spans="1:19" x14ac:dyDescent="0.35">
      <c r="A24" s="21">
        <v>19</v>
      </c>
      <c r="B24" s="21" t="s">
        <v>133</v>
      </c>
      <c r="C24" s="21" t="s">
        <v>113</v>
      </c>
      <c r="D24" s="21" t="s">
        <v>109</v>
      </c>
      <c r="E24" s="23">
        <v>36</v>
      </c>
      <c r="F24" s="22">
        <v>16.32</v>
      </c>
      <c r="G24" s="22">
        <v>17</v>
      </c>
      <c r="H24" s="22">
        <f t="shared" si="7"/>
        <v>16.66</v>
      </c>
      <c r="I24" s="22">
        <v>19.850000000000001</v>
      </c>
      <c r="J24" s="22">
        <v>20.350000000000001</v>
      </c>
      <c r="K24" s="22">
        <f t="shared" si="8"/>
        <v>20.100000000000001</v>
      </c>
      <c r="L24" s="22">
        <f t="shared" si="9"/>
        <v>3.4400000000000013</v>
      </c>
      <c r="M24" s="22">
        <f t="shared" si="10"/>
        <v>0</v>
      </c>
      <c r="N24" s="21">
        <f t="shared" si="4"/>
        <v>1</v>
      </c>
      <c r="O24" s="33"/>
      <c r="P24" s="33"/>
      <c r="Q24" s="36"/>
    </row>
    <row r="25" spans="1:19" x14ac:dyDescent="0.35">
      <c r="A25" s="21">
        <v>20</v>
      </c>
      <c r="B25" s="21" t="s">
        <v>134</v>
      </c>
      <c r="C25" s="21" t="s">
        <v>114</v>
      </c>
      <c r="D25" s="21" t="s">
        <v>109</v>
      </c>
      <c r="E25" s="23">
        <v>39</v>
      </c>
      <c r="F25" s="22">
        <v>17.010000000000002</v>
      </c>
      <c r="G25" s="22">
        <v>17.39</v>
      </c>
      <c r="H25" s="22">
        <f t="shared" si="7"/>
        <v>17.200000000000003</v>
      </c>
      <c r="I25" s="22">
        <v>22.11</v>
      </c>
      <c r="J25" s="22">
        <v>22.03</v>
      </c>
      <c r="K25" s="22">
        <f t="shared" si="8"/>
        <v>22.07</v>
      </c>
      <c r="L25" s="22">
        <f t="shared" si="9"/>
        <v>4.8699999999999974</v>
      </c>
      <c r="M25" s="22">
        <f t="shared" si="10"/>
        <v>0</v>
      </c>
      <c r="N25" s="21">
        <f t="shared" si="4"/>
        <v>1</v>
      </c>
      <c r="O25" s="34"/>
      <c r="P25" s="34"/>
      <c r="Q25" s="37"/>
    </row>
    <row r="26" spans="1:19" hidden="1" x14ac:dyDescent="0.35">
      <c r="A26" s="17">
        <v>21</v>
      </c>
      <c r="B26" s="17" t="s">
        <v>135</v>
      </c>
      <c r="C26" s="17" t="s">
        <v>99</v>
      </c>
      <c r="D26" s="17" t="s">
        <v>98</v>
      </c>
      <c r="E26" s="17" t="s">
        <v>100</v>
      </c>
      <c r="F26" s="18">
        <v>17.760000000000002</v>
      </c>
      <c r="G26" s="18">
        <v>17.91</v>
      </c>
      <c r="H26" s="18">
        <f>AVERAGE(F26:G26)</f>
        <v>17.835000000000001</v>
      </c>
      <c r="I26" s="18">
        <v>20.97</v>
      </c>
      <c r="J26" s="18">
        <v>21.17</v>
      </c>
      <c r="K26" s="18">
        <f>AVERAGE(I26:J26)</f>
        <v>21.07</v>
      </c>
      <c r="L26" s="18">
        <f>K26-H26</f>
        <v>3.2349999999999994</v>
      </c>
      <c r="M26" s="18">
        <f>L26-(AVERAGE($L$21:$L$25))</f>
        <v>-0.95300000000000029</v>
      </c>
      <c r="N26" s="17">
        <f>2^(-M26)</f>
        <v>1.9358940537874751</v>
      </c>
      <c r="O26" s="26">
        <f>AVERAGE(K26:K30)-AVERAGE(H26:H30)</f>
        <v>3.093</v>
      </c>
      <c r="P26" s="26">
        <f t="shared" ref="P26" si="11">O26-$O$21</f>
        <v>-1.0949999999999989</v>
      </c>
      <c r="Q26" s="29">
        <f>2^(-P26)</f>
        <v>2.1361308160957013</v>
      </c>
    </row>
    <row r="27" spans="1:19" hidden="1" x14ac:dyDescent="0.35">
      <c r="A27" s="17">
        <v>22</v>
      </c>
      <c r="B27" s="17" t="s">
        <v>136</v>
      </c>
      <c r="C27" s="17" t="s">
        <v>101</v>
      </c>
      <c r="D27" s="17" t="s">
        <v>98</v>
      </c>
      <c r="E27" s="17" t="s">
        <v>102</v>
      </c>
      <c r="F27" s="18">
        <v>16.010000000000002</v>
      </c>
      <c r="G27" s="18">
        <v>16.36</v>
      </c>
      <c r="H27" s="18">
        <f>AVERAGE(F27:G27)</f>
        <v>16.185000000000002</v>
      </c>
      <c r="I27" s="18">
        <v>20.239999999999998</v>
      </c>
      <c r="J27" s="18">
        <v>20.25</v>
      </c>
      <c r="K27" s="18">
        <f>AVERAGE(I27:J27)</f>
        <v>20.244999999999997</v>
      </c>
      <c r="L27" s="18">
        <f>K27-H27</f>
        <v>4.0599999999999952</v>
      </c>
      <c r="M27" s="18">
        <f>L27-(AVERAGE($L$21:$L$25))</f>
        <v>-0.12800000000000455</v>
      </c>
      <c r="N27" s="17">
        <f>2^(-M27)</f>
        <v>1.0927777391009559</v>
      </c>
      <c r="O27" s="27"/>
      <c r="P27" s="27"/>
      <c r="Q27" s="30"/>
    </row>
    <row r="28" spans="1:19" hidden="1" x14ac:dyDescent="0.35">
      <c r="A28" s="17">
        <v>23</v>
      </c>
      <c r="B28" s="17" t="s">
        <v>137</v>
      </c>
      <c r="C28" s="17" t="s">
        <v>103</v>
      </c>
      <c r="D28" s="17" t="s">
        <v>98</v>
      </c>
      <c r="E28" s="17" t="s">
        <v>104</v>
      </c>
      <c r="F28" s="18">
        <v>16.899999999999999</v>
      </c>
      <c r="G28" s="18">
        <v>17.04</v>
      </c>
      <c r="H28" s="18">
        <f>AVERAGE(F28:G28)</f>
        <v>16.97</v>
      </c>
      <c r="I28" s="18">
        <v>19.149999999999999</v>
      </c>
      <c r="J28" s="18">
        <v>19.23</v>
      </c>
      <c r="K28" s="18">
        <f>AVERAGE(I28:J28)</f>
        <v>19.189999999999998</v>
      </c>
      <c r="L28" s="18">
        <f>K28-H28</f>
        <v>2.2199999999999989</v>
      </c>
      <c r="M28" s="18">
        <f>L28-(AVERAGE($L$21:$L$25))</f>
        <v>-1.9680000000000009</v>
      </c>
      <c r="N28" s="17">
        <f>2^(-M28)</f>
        <v>3.9122538937893596</v>
      </c>
      <c r="O28" s="27"/>
      <c r="P28" s="27"/>
      <c r="Q28" s="30"/>
    </row>
    <row r="29" spans="1:19" hidden="1" x14ac:dyDescent="0.35">
      <c r="A29" s="17">
        <v>24</v>
      </c>
      <c r="B29" s="17" t="s">
        <v>138</v>
      </c>
      <c r="C29" s="17" t="s">
        <v>105</v>
      </c>
      <c r="D29" s="17" t="s">
        <v>98</v>
      </c>
      <c r="E29" s="17" t="s">
        <v>106</v>
      </c>
      <c r="F29" s="18">
        <v>17.66</v>
      </c>
      <c r="G29" s="18">
        <v>17.78</v>
      </c>
      <c r="H29" s="18">
        <f>AVERAGE(F29:G29)</f>
        <v>17.72</v>
      </c>
      <c r="I29" s="18">
        <v>19.98</v>
      </c>
      <c r="J29" s="18">
        <v>20.440000000000001</v>
      </c>
      <c r="K29" s="18">
        <f>AVERAGE(I29:J29)</f>
        <v>20.21</v>
      </c>
      <c r="L29" s="18">
        <f>K29-H29</f>
        <v>2.490000000000002</v>
      </c>
      <c r="M29" s="18">
        <f>L29-(AVERAGE($L$21:$L$25))</f>
        <v>-1.6979999999999977</v>
      </c>
      <c r="N29" s="17">
        <f>2^(-M29)</f>
        <v>3.2445086223081661</v>
      </c>
      <c r="O29" s="27"/>
      <c r="P29" s="27"/>
      <c r="Q29" s="30"/>
    </row>
    <row r="30" spans="1:19" hidden="1" x14ac:dyDescent="0.35">
      <c r="A30" s="17">
        <v>25</v>
      </c>
      <c r="B30" s="17" t="s">
        <v>139</v>
      </c>
      <c r="C30" s="17" t="s">
        <v>107</v>
      </c>
      <c r="D30" s="17" t="s">
        <v>98</v>
      </c>
      <c r="E30" s="17" t="s">
        <v>108</v>
      </c>
      <c r="F30" s="18">
        <v>17.21</v>
      </c>
      <c r="G30" s="18">
        <v>17.88</v>
      </c>
      <c r="H30" s="18">
        <f>AVERAGE(F30:G30)</f>
        <v>17.545000000000002</v>
      </c>
      <c r="I30" s="18">
        <v>21</v>
      </c>
      <c r="J30" s="18">
        <v>21.01</v>
      </c>
      <c r="K30" s="18">
        <f>AVERAGE(I30:J30)</f>
        <v>21.005000000000003</v>
      </c>
      <c r="L30" s="18">
        <f>K30-H30</f>
        <v>3.4600000000000009</v>
      </c>
      <c r="M30" s="18">
        <f>L30-(AVERAGE($L$21:$L$25))</f>
        <v>-0.72799999999999887</v>
      </c>
      <c r="N30" s="17">
        <f>2^(-M30)</f>
        <v>1.65634132266909</v>
      </c>
      <c r="O30" s="28"/>
      <c r="P30" s="28"/>
      <c r="Q30" s="31"/>
    </row>
  </sheetData>
  <mergeCells count="31">
    <mergeCell ref="O21:O25"/>
    <mergeCell ref="P21:P25"/>
    <mergeCell ref="Q21:Q25"/>
    <mergeCell ref="Q26:Q30"/>
    <mergeCell ref="P26:P30"/>
    <mergeCell ref="O26:O30"/>
    <mergeCell ref="O16:O20"/>
    <mergeCell ref="P16:P20"/>
    <mergeCell ref="Q16:Q20"/>
    <mergeCell ref="O6:O10"/>
    <mergeCell ref="P6:P10"/>
    <mergeCell ref="Q6:Q10"/>
    <mergeCell ref="O11:O15"/>
    <mergeCell ref="P11:P15"/>
    <mergeCell ref="Q11:Q15"/>
    <mergeCell ref="I2:K3"/>
    <mergeCell ref="L2:L5"/>
    <mergeCell ref="M2:M5"/>
    <mergeCell ref="N2:N5"/>
    <mergeCell ref="O2:Q2"/>
    <mergeCell ref="O3:O5"/>
    <mergeCell ref="P3:P5"/>
    <mergeCell ref="Q3:Q5"/>
    <mergeCell ref="I4:K4"/>
    <mergeCell ref="F2:H3"/>
    <mergeCell ref="F4:H4"/>
    <mergeCell ref="A2:A5"/>
    <mergeCell ref="B2:B5"/>
    <mergeCell ref="C2:C5"/>
    <mergeCell ref="D2:D5"/>
    <mergeCell ref="E2:E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4CC97-3373-4A81-BE2F-C368D21E34E8}">
  <dimension ref="A1:Q29"/>
  <sheetViews>
    <sheetView topLeftCell="I11" zoomScale="90" zoomScaleNormal="90" workbookViewId="0">
      <selection sqref="A1:Q29"/>
    </sheetView>
  </sheetViews>
  <sheetFormatPr defaultRowHeight="14.5" x14ac:dyDescent="0.35"/>
  <cols>
    <col min="3" max="3" width="11.6328125" customWidth="1"/>
    <col min="4" max="4" width="17" customWidth="1"/>
    <col min="5" max="5" width="22.08984375" hidden="1" customWidth="1"/>
    <col min="14" max="14" width="12.36328125" customWidth="1"/>
    <col min="17" max="17" width="10.90625" customWidth="1"/>
  </cols>
  <sheetData>
    <row r="1" spans="1:17" x14ac:dyDescent="0.35">
      <c r="A1" s="25" t="s">
        <v>153</v>
      </c>
      <c r="B1" s="25" t="s">
        <v>154</v>
      </c>
      <c r="C1" s="25" t="s">
        <v>1</v>
      </c>
      <c r="D1" s="25" t="s">
        <v>155</v>
      </c>
      <c r="E1" s="25" t="s">
        <v>168</v>
      </c>
      <c r="F1" s="24" t="s">
        <v>157</v>
      </c>
      <c r="G1" s="24"/>
      <c r="H1" s="24"/>
      <c r="I1" s="24" t="s">
        <v>156</v>
      </c>
      <c r="J1" s="24"/>
      <c r="K1" s="24"/>
      <c r="L1" s="24" t="s">
        <v>158</v>
      </c>
      <c r="M1" s="24" t="s">
        <v>159</v>
      </c>
      <c r="N1" s="25" t="s">
        <v>160</v>
      </c>
      <c r="O1" s="38" t="s">
        <v>167</v>
      </c>
      <c r="P1" s="38"/>
      <c r="Q1" s="38"/>
    </row>
    <row r="2" spans="1:17" ht="15" customHeight="1" x14ac:dyDescent="0.35">
      <c r="A2" s="25"/>
      <c r="B2" s="25"/>
      <c r="C2" s="25"/>
      <c r="D2" s="25"/>
      <c r="E2" s="25"/>
      <c r="F2" s="24"/>
      <c r="G2" s="24"/>
      <c r="H2" s="24"/>
      <c r="I2" s="24"/>
      <c r="J2" s="24"/>
      <c r="K2" s="24"/>
      <c r="L2" s="24"/>
      <c r="M2" s="24"/>
      <c r="N2" s="25"/>
      <c r="O2" s="24" t="s">
        <v>158</v>
      </c>
      <c r="P2" s="24" t="s">
        <v>159</v>
      </c>
      <c r="Q2" s="25" t="s">
        <v>160</v>
      </c>
    </row>
    <row r="3" spans="1:17" x14ac:dyDescent="0.35">
      <c r="A3" s="25"/>
      <c r="B3" s="25"/>
      <c r="C3" s="25"/>
      <c r="D3" s="25"/>
      <c r="E3" s="25"/>
      <c r="F3" s="24" t="s">
        <v>162</v>
      </c>
      <c r="G3" s="24"/>
      <c r="H3" s="24"/>
      <c r="I3" s="24" t="s">
        <v>166</v>
      </c>
      <c r="J3" s="24"/>
      <c r="K3" s="24"/>
      <c r="L3" s="24"/>
      <c r="M3" s="24"/>
      <c r="N3" s="25"/>
      <c r="O3" s="24"/>
      <c r="P3" s="24"/>
      <c r="Q3" s="25"/>
    </row>
    <row r="4" spans="1:17" x14ac:dyDescent="0.35">
      <c r="A4" s="25"/>
      <c r="B4" s="25"/>
      <c r="C4" s="25"/>
      <c r="D4" s="25"/>
      <c r="E4" s="25"/>
      <c r="F4" s="20" t="s">
        <v>163</v>
      </c>
      <c r="G4" s="20" t="s">
        <v>164</v>
      </c>
      <c r="H4" s="20" t="s">
        <v>165</v>
      </c>
      <c r="I4" s="20" t="s">
        <v>163</v>
      </c>
      <c r="J4" s="20" t="s">
        <v>164</v>
      </c>
      <c r="K4" s="20" t="s">
        <v>165</v>
      </c>
      <c r="L4" s="24"/>
      <c r="M4" s="24"/>
      <c r="N4" s="25"/>
      <c r="O4" s="24"/>
      <c r="P4" s="24"/>
      <c r="Q4" s="25"/>
    </row>
    <row r="5" spans="1:17" x14ac:dyDescent="0.35">
      <c r="A5" s="17">
        <v>1</v>
      </c>
      <c r="B5" s="17" t="s">
        <v>19</v>
      </c>
      <c r="C5" s="17" t="s">
        <v>3</v>
      </c>
      <c r="D5" s="17" t="s">
        <v>2</v>
      </c>
      <c r="E5" s="17" t="s">
        <v>32</v>
      </c>
      <c r="F5" s="18">
        <v>15.11</v>
      </c>
      <c r="G5" s="18">
        <v>15.07</v>
      </c>
      <c r="H5" s="18">
        <f>AVERAGE(F5:G5)</f>
        <v>15.09</v>
      </c>
      <c r="I5" s="18">
        <v>27.52</v>
      </c>
      <c r="J5" s="18">
        <v>29.06</v>
      </c>
      <c r="K5" s="18">
        <f>AVERAGE(I5:J5)</f>
        <v>28.29</v>
      </c>
      <c r="L5" s="18">
        <f>K5-H5</f>
        <v>13.2</v>
      </c>
      <c r="M5" s="18">
        <f t="shared" ref="M5:M24" si="0">L5-(AVERAGE($L$25:$L$29))</f>
        <v>-3.4339999999999975</v>
      </c>
      <c r="N5" s="17">
        <f>2^(-M5)</f>
        <v>10.80779267628508</v>
      </c>
      <c r="O5" s="39">
        <f>AVERAGE(K5:K9)-AVERAGE(H5:H9)</f>
        <v>15.448000000000004</v>
      </c>
      <c r="P5" s="39">
        <f>O5-$O$25</f>
        <v>-1.1859999999999928</v>
      </c>
      <c r="Q5" s="40">
        <f>2^(-P5)</f>
        <v>2.2752104557449981</v>
      </c>
    </row>
    <row r="6" spans="1:17" x14ac:dyDescent="0.35">
      <c r="A6" s="17">
        <v>2</v>
      </c>
      <c r="B6" s="17" t="s">
        <v>20</v>
      </c>
      <c r="C6" s="17" t="s">
        <v>4</v>
      </c>
      <c r="D6" s="17" t="s">
        <v>2</v>
      </c>
      <c r="E6" s="17" t="s">
        <v>33</v>
      </c>
      <c r="F6" s="18">
        <v>18.82</v>
      </c>
      <c r="G6" s="18">
        <v>18.23</v>
      </c>
      <c r="H6" s="18">
        <f t="shared" ref="H6:H29" si="1">AVERAGE(F6:G6)</f>
        <v>18.524999999999999</v>
      </c>
      <c r="I6" s="18">
        <v>31.98</v>
      </c>
      <c r="J6" s="18">
        <v>32.299999999999997</v>
      </c>
      <c r="K6" s="18">
        <f t="shared" ref="K6:K29" si="2">AVERAGE(I6:J6)</f>
        <v>32.14</v>
      </c>
      <c r="L6" s="18">
        <f t="shared" ref="L6:L29" si="3">K6-H6</f>
        <v>13.615000000000002</v>
      </c>
      <c r="M6" s="18">
        <f t="shared" si="0"/>
        <v>-3.0189999999999948</v>
      </c>
      <c r="N6" s="17">
        <f t="shared" ref="N6:N29" si="4">2^(-M6)</f>
        <v>8.106055201272655</v>
      </c>
      <c r="O6" s="39"/>
      <c r="P6" s="39"/>
      <c r="Q6" s="40"/>
    </row>
    <row r="7" spans="1:17" x14ac:dyDescent="0.35">
      <c r="A7" s="17">
        <v>3</v>
      </c>
      <c r="B7" s="17" t="s">
        <v>21</v>
      </c>
      <c r="C7" s="17" t="s">
        <v>5</v>
      </c>
      <c r="D7" s="17" t="s">
        <v>2</v>
      </c>
      <c r="E7" s="17" t="s">
        <v>34</v>
      </c>
      <c r="F7" s="18">
        <v>16.559999999999999</v>
      </c>
      <c r="G7" s="18">
        <v>17.75</v>
      </c>
      <c r="H7" s="18">
        <f t="shared" si="1"/>
        <v>17.155000000000001</v>
      </c>
      <c r="I7" s="18">
        <v>34.29</v>
      </c>
      <c r="J7" s="18">
        <v>36.6</v>
      </c>
      <c r="K7" s="18">
        <f t="shared" si="2"/>
        <v>35.445</v>
      </c>
      <c r="L7" s="18">
        <f t="shared" si="3"/>
        <v>18.29</v>
      </c>
      <c r="M7" s="18">
        <f t="shared" si="0"/>
        <v>1.6560000000000024</v>
      </c>
      <c r="N7" s="17">
        <f t="shared" si="4"/>
        <v>0.31731772150495069</v>
      </c>
      <c r="O7" s="39"/>
      <c r="P7" s="39"/>
      <c r="Q7" s="40"/>
    </row>
    <row r="8" spans="1:17" x14ac:dyDescent="0.35">
      <c r="A8" s="17">
        <v>4</v>
      </c>
      <c r="B8" s="17" t="s">
        <v>22</v>
      </c>
      <c r="C8" s="17" t="s">
        <v>6</v>
      </c>
      <c r="D8" s="17" t="s">
        <v>2</v>
      </c>
      <c r="E8" s="17" t="s">
        <v>35</v>
      </c>
      <c r="F8" s="18">
        <v>16.13</v>
      </c>
      <c r="G8" s="18">
        <v>15.98</v>
      </c>
      <c r="H8" s="18">
        <f t="shared" si="1"/>
        <v>16.055</v>
      </c>
      <c r="I8" s="18">
        <v>32.4</v>
      </c>
      <c r="J8" s="18">
        <v>33.340000000000003</v>
      </c>
      <c r="K8" s="18">
        <f t="shared" si="2"/>
        <v>32.870000000000005</v>
      </c>
      <c r="L8" s="18">
        <f t="shared" si="3"/>
        <v>16.815000000000005</v>
      </c>
      <c r="M8" s="18">
        <f t="shared" si="0"/>
        <v>0.18100000000000804</v>
      </c>
      <c r="N8" s="17">
        <f t="shared" si="4"/>
        <v>0.88209136519717168</v>
      </c>
      <c r="O8" s="39"/>
      <c r="P8" s="39"/>
      <c r="Q8" s="40"/>
    </row>
    <row r="9" spans="1:17" x14ac:dyDescent="0.35">
      <c r="A9" s="17">
        <v>5</v>
      </c>
      <c r="B9" s="17" t="s">
        <v>128</v>
      </c>
      <c r="C9" s="17" t="s">
        <v>122</v>
      </c>
      <c r="D9" s="17" t="s">
        <v>121</v>
      </c>
      <c r="E9" s="17" t="s">
        <v>123</v>
      </c>
      <c r="F9" s="19">
        <v>17.100000000000001</v>
      </c>
      <c r="G9" s="19">
        <v>17.72</v>
      </c>
      <c r="H9" s="18">
        <f t="shared" si="1"/>
        <v>17.41</v>
      </c>
      <c r="I9" s="19">
        <v>32.65</v>
      </c>
      <c r="J9" s="18">
        <v>32.81</v>
      </c>
      <c r="K9" s="18">
        <f t="shared" si="2"/>
        <v>32.730000000000004</v>
      </c>
      <c r="L9" s="18">
        <f t="shared" si="3"/>
        <v>15.320000000000004</v>
      </c>
      <c r="M9" s="18">
        <f t="shared" si="0"/>
        <v>-1.313999999999993</v>
      </c>
      <c r="N9" s="17">
        <f t="shared" si="4"/>
        <v>2.4862993378078673</v>
      </c>
      <c r="O9" s="39"/>
      <c r="P9" s="39"/>
      <c r="Q9" s="40"/>
    </row>
    <row r="10" spans="1:17" x14ac:dyDescent="0.35">
      <c r="A10" s="21">
        <v>6</v>
      </c>
      <c r="B10" s="21" t="s">
        <v>23</v>
      </c>
      <c r="C10" s="21" t="s">
        <v>8</v>
      </c>
      <c r="D10" s="21" t="s">
        <v>141</v>
      </c>
      <c r="E10" s="21" t="s">
        <v>31</v>
      </c>
      <c r="F10" s="22">
        <v>18.03</v>
      </c>
      <c r="G10" s="22">
        <v>16.78</v>
      </c>
      <c r="H10" s="22">
        <f t="shared" si="1"/>
        <v>17.405000000000001</v>
      </c>
      <c r="I10" s="22">
        <v>34.049999999999997</v>
      </c>
      <c r="J10" s="22">
        <v>35.049999999999997</v>
      </c>
      <c r="K10" s="22">
        <f t="shared" si="2"/>
        <v>34.549999999999997</v>
      </c>
      <c r="L10" s="22">
        <f t="shared" si="3"/>
        <v>17.144999999999996</v>
      </c>
      <c r="M10" s="22">
        <f t="shared" si="0"/>
        <v>0.51099999999999923</v>
      </c>
      <c r="N10" s="21">
        <f t="shared" si="4"/>
        <v>0.70173586301953805</v>
      </c>
      <c r="O10" s="41">
        <f t="shared" ref="O10:O25" si="5">AVERAGE(K10:K14)-AVERAGE(H10:H14)</f>
        <v>16.437999999999995</v>
      </c>
      <c r="P10" s="41">
        <f t="shared" ref="P10:P25" si="6">O10-$O$25</f>
        <v>-0.19600000000000151</v>
      </c>
      <c r="Q10" s="42">
        <f t="shared" ref="Q10:Q25" si="7">2^(-P10)</f>
        <v>1.1455178979797582</v>
      </c>
    </row>
    <row r="11" spans="1:17" x14ac:dyDescent="0.35">
      <c r="A11" s="21">
        <v>7</v>
      </c>
      <c r="B11" s="21" t="s">
        <v>24</v>
      </c>
      <c r="C11" s="21" t="s">
        <v>9</v>
      </c>
      <c r="D11" s="21" t="s">
        <v>141</v>
      </c>
      <c r="E11" s="21" t="s">
        <v>31</v>
      </c>
      <c r="F11" s="22">
        <v>19.96</v>
      </c>
      <c r="G11" s="22">
        <v>19.899999999999999</v>
      </c>
      <c r="H11" s="22">
        <f t="shared" si="1"/>
        <v>19.93</v>
      </c>
      <c r="I11" s="22">
        <v>30.7</v>
      </c>
      <c r="J11" s="22">
        <v>32.03</v>
      </c>
      <c r="K11" s="22">
        <f t="shared" si="2"/>
        <v>31.365000000000002</v>
      </c>
      <c r="L11" s="22">
        <f t="shared" si="3"/>
        <v>11.435000000000002</v>
      </c>
      <c r="M11" s="22">
        <f t="shared" si="0"/>
        <v>-5.1989999999999945</v>
      </c>
      <c r="N11" s="21">
        <f t="shared" si="4"/>
        <v>36.732877243359923</v>
      </c>
      <c r="O11" s="41"/>
      <c r="P11" s="41"/>
      <c r="Q11" s="42"/>
    </row>
    <row r="12" spans="1:17" x14ac:dyDescent="0.35">
      <c r="A12" s="21">
        <v>8</v>
      </c>
      <c r="B12" s="21" t="s">
        <v>25</v>
      </c>
      <c r="C12" s="21" t="s">
        <v>10</v>
      </c>
      <c r="D12" s="21" t="s">
        <v>141</v>
      </c>
      <c r="E12" s="21" t="s">
        <v>31</v>
      </c>
      <c r="F12" s="22">
        <v>16.23</v>
      </c>
      <c r="G12" s="22">
        <v>16.84</v>
      </c>
      <c r="H12" s="22">
        <f t="shared" si="1"/>
        <v>16.535</v>
      </c>
      <c r="I12" s="22">
        <v>36</v>
      </c>
      <c r="J12" s="22">
        <v>34.68</v>
      </c>
      <c r="K12" s="22">
        <f t="shared" si="2"/>
        <v>35.340000000000003</v>
      </c>
      <c r="L12" s="22">
        <f t="shared" si="3"/>
        <v>18.805000000000003</v>
      </c>
      <c r="M12" s="22">
        <f t="shared" si="0"/>
        <v>2.1710000000000065</v>
      </c>
      <c r="N12" s="21">
        <f t="shared" si="4"/>
        <v>0.22205669896060026</v>
      </c>
      <c r="O12" s="41"/>
      <c r="P12" s="41"/>
      <c r="Q12" s="42"/>
    </row>
    <row r="13" spans="1:17" x14ac:dyDescent="0.35">
      <c r="A13" s="21">
        <v>9</v>
      </c>
      <c r="B13" s="21" t="s">
        <v>26</v>
      </c>
      <c r="C13" s="21" t="s">
        <v>11</v>
      </c>
      <c r="D13" s="21" t="s">
        <v>141</v>
      </c>
      <c r="E13" s="21" t="s">
        <v>31</v>
      </c>
      <c r="F13" s="22">
        <v>16.82</v>
      </c>
      <c r="G13" s="22">
        <v>16.82</v>
      </c>
      <c r="H13" s="22">
        <f t="shared" si="1"/>
        <v>16.82</v>
      </c>
      <c r="I13" s="22">
        <v>34.89</v>
      </c>
      <c r="J13" s="22">
        <v>36.31</v>
      </c>
      <c r="K13" s="22">
        <f t="shared" si="2"/>
        <v>35.6</v>
      </c>
      <c r="L13" s="22">
        <f t="shared" si="3"/>
        <v>18.78</v>
      </c>
      <c r="M13" s="22">
        <f t="shared" si="0"/>
        <v>2.1460000000000043</v>
      </c>
      <c r="N13" s="21">
        <f t="shared" si="4"/>
        <v>0.22593818168777077</v>
      </c>
      <c r="O13" s="41"/>
      <c r="P13" s="41"/>
      <c r="Q13" s="42"/>
    </row>
    <row r="14" spans="1:17" x14ac:dyDescent="0.35">
      <c r="A14" s="21">
        <v>10</v>
      </c>
      <c r="B14" s="21" t="s">
        <v>129</v>
      </c>
      <c r="C14" s="21" t="s">
        <v>142</v>
      </c>
      <c r="D14" s="21" t="s">
        <v>141</v>
      </c>
      <c r="E14" s="21" t="s">
        <v>124</v>
      </c>
      <c r="F14" s="22">
        <v>18.399999999999999</v>
      </c>
      <c r="G14" s="22">
        <v>18.36</v>
      </c>
      <c r="H14" s="22">
        <f t="shared" si="1"/>
        <v>18.38</v>
      </c>
      <c r="I14" s="22">
        <v>34.380000000000003</v>
      </c>
      <c r="J14" s="22">
        <v>34.43</v>
      </c>
      <c r="K14" s="22">
        <f t="shared" si="2"/>
        <v>34.405000000000001</v>
      </c>
      <c r="L14" s="22">
        <f t="shared" si="3"/>
        <v>16.025000000000002</v>
      </c>
      <c r="M14" s="22">
        <f t="shared" si="0"/>
        <v>-0.60899999999999466</v>
      </c>
      <c r="N14" s="21">
        <f t="shared" si="4"/>
        <v>1.5252016532562784</v>
      </c>
      <c r="O14" s="41"/>
      <c r="P14" s="41"/>
      <c r="Q14" s="42"/>
    </row>
    <row r="15" spans="1:17" x14ac:dyDescent="0.35">
      <c r="A15" s="17">
        <v>11</v>
      </c>
      <c r="B15" s="17" t="s">
        <v>27</v>
      </c>
      <c r="C15" s="17" t="s">
        <v>13</v>
      </c>
      <c r="D15" s="17" t="s">
        <v>12</v>
      </c>
      <c r="E15" s="17" t="s">
        <v>36</v>
      </c>
      <c r="F15" s="18">
        <v>16.27</v>
      </c>
      <c r="G15" s="18">
        <v>16.829999999999998</v>
      </c>
      <c r="H15" s="18">
        <f t="shared" si="1"/>
        <v>16.549999999999997</v>
      </c>
      <c r="I15" s="18">
        <v>32.43</v>
      </c>
      <c r="J15" s="18">
        <v>33.25</v>
      </c>
      <c r="K15" s="18">
        <f t="shared" si="2"/>
        <v>32.840000000000003</v>
      </c>
      <c r="L15" s="18">
        <f t="shared" si="3"/>
        <v>16.290000000000006</v>
      </c>
      <c r="M15" s="18">
        <f t="shared" si="0"/>
        <v>-0.34399999999999054</v>
      </c>
      <c r="N15" s="17">
        <f t="shared" si="4"/>
        <v>1.2692708860197965</v>
      </c>
      <c r="O15" s="39">
        <f t="shared" si="5"/>
        <v>16.573</v>
      </c>
      <c r="P15" s="39">
        <f t="shared" si="6"/>
        <v>-6.099999999999639E-2</v>
      </c>
      <c r="Q15" s="40">
        <f t="shared" si="7"/>
        <v>1.0431885935298555</v>
      </c>
    </row>
    <row r="16" spans="1:17" x14ac:dyDescent="0.35">
      <c r="A16" s="17">
        <v>12</v>
      </c>
      <c r="B16" s="17" t="s">
        <v>28</v>
      </c>
      <c r="C16" s="17" t="s">
        <v>14</v>
      </c>
      <c r="D16" s="17" t="s">
        <v>12</v>
      </c>
      <c r="E16" s="17" t="s">
        <v>37</v>
      </c>
      <c r="F16" s="18">
        <v>16.829999999999998</v>
      </c>
      <c r="G16" s="18">
        <v>17.23</v>
      </c>
      <c r="H16" s="18">
        <f t="shared" si="1"/>
        <v>17.03</v>
      </c>
      <c r="I16" s="18">
        <v>36.03</v>
      </c>
      <c r="J16" s="18">
        <v>34.35</v>
      </c>
      <c r="K16" s="18">
        <f t="shared" si="2"/>
        <v>35.19</v>
      </c>
      <c r="L16" s="18">
        <f t="shared" si="3"/>
        <v>18.159999999999997</v>
      </c>
      <c r="M16" s="18">
        <f t="shared" si="0"/>
        <v>1.5259999999999998</v>
      </c>
      <c r="N16" s="17">
        <f t="shared" si="4"/>
        <v>0.34723878394127772</v>
      </c>
      <c r="O16" s="39"/>
      <c r="P16" s="39"/>
      <c r="Q16" s="40"/>
    </row>
    <row r="17" spans="1:17" x14ac:dyDescent="0.35">
      <c r="A17" s="17">
        <v>13</v>
      </c>
      <c r="B17" s="17" t="s">
        <v>125</v>
      </c>
      <c r="C17" s="17" t="s">
        <v>115</v>
      </c>
      <c r="D17" s="17" t="s">
        <v>12</v>
      </c>
      <c r="E17" s="17" t="s">
        <v>118</v>
      </c>
      <c r="F17" s="18">
        <v>18.649999999999999</v>
      </c>
      <c r="G17" s="18">
        <v>18.8</v>
      </c>
      <c r="H17" s="18">
        <f t="shared" si="1"/>
        <v>18.725000000000001</v>
      </c>
      <c r="I17" s="18">
        <v>37.86</v>
      </c>
      <c r="J17" s="18">
        <v>36.659999999999997</v>
      </c>
      <c r="K17" s="18">
        <f t="shared" si="2"/>
        <v>37.26</v>
      </c>
      <c r="L17" s="18">
        <f t="shared" si="3"/>
        <v>18.534999999999997</v>
      </c>
      <c r="M17" s="18">
        <f t="shared" si="0"/>
        <v>1.9009999999999998</v>
      </c>
      <c r="N17" s="17">
        <f t="shared" si="4"/>
        <v>0.26775770579786379</v>
      </c>
      <c r="O17" s="39"/>
      <c r="P17" s="39"/>
      <c r="Q17" s="40"/>
    </row>
    <row r="18" spans="1:17" x14ac:dyDescent="0.35">
      <c r="A18" s="17">
        <v>14</v>
      </c>
      <c r="B18" s="17" t="s">
        <v>126</v>
      </c>
      <c r="C18" s="17" t="s">
        <v>116</v>
      </c>
      <c r="D18" s="17" t="s">
        <v>12</v>
      </c>
      <c r="E18" s="17" t="s">
        <v>119</v>
      </c>
      <c r="F18" s="18">
        <v>18</v>
      </c>
      <c r="G18" s="18">
        <v>18.399999999999999</v>
      </c>
      <c r="H18" s="18">
        <f t="shared" si="1"/>
        <v>18.2</v>
      </c>
      <c r="I18" s="18">
        <v>33.97</v>
      </c>
      <c r="J18" s="18">
        <v>35.020000000000003</v>
      </c>
      <c r="K18" s="18">
        <f t="shared" si="2"/>
        <v>34.495000000000005</v>
      </c>
      <c r="L18" s="18">
        <f t="shared" si="3"/>
        <v>16.295000000000005</v>
      </c>
      <c r="M18" s="18">
        <f t="shared" si="0"/>
        <v>-0.33899999999999153</v>
      </c>
      <c r="N18" s="17">
        <f t="shared" si="4"/>
        <v>1.2648795423539296</v>
      </c>
      <c r="O18" s="39"/>
      <c r="P18" s="39"/>
      <c r="Q18" s="40"/>
    </row>
    <row r="19" spans="1:17" x14ac:dyDescent="0.35">
      <c r="A19" s="17">
        <v>15</v>
      </c>
      <c r="B19" s="17" t="s">
        <v>127</v>
      </c>
      <c r="C19" s="17" t="s">
        <v>117</v>
      </c>
      <c r="D19" s="17" t="s">
        <v>12</v>
      </c>
      <c r="E19" s="17" t="s">
        <v>120</v>
      </c>
      <c r="F19" s="19">
        <v>20.010000000000002</v>
      </c>
      <c r="G19" s="19">
        <v>20.3</v>
      </c>
      <c r="H19" s="18">
        <f t="shared" si="1"/>
        <v>20.155000000000001</v>
      </c>
      <c r="I19" s="19">
        <v>33.39</v>
      </c>
      <c r="J19" s="18">
        <v>34.090000000000003</v>
      </c>
      <c r="K19" s="18">
        <f t="shared" si="2"/>
        <v>33.74</v>
      </c>
      <c r="L19" s="18">
        <f t="shared" si="3"/>
        <v>13.585000000000001</v>
      </c>
      <c r="M19" s="18">
        <f t="shared" si="0"/>
        <v>-3.0489999999999959</v>
      </c>
      <c r="N19" s="17">
        <f t="shared" si="4"/>
        <v>8.2763806521512517</v>
      </c>
      <c r="O19" s="39"/>
      <c r="P19" s="39"/>
      <c r="Q19" s="40"/>
    </row>
    <row r="20" spans="1:17" x14ac:dyDescent="0.35">
      <c r="A20" s="21">
        <v>16</v>
      </c>
      <c r="B20" s="21" t="s">
        <v>130</v>
      </c>
      <c r="C20" s="21" t="s">
        <v>110</v>
      </c>
      <c r="D20" s="21" t="s">
        <v>109</v>
      </c>
      <c r="E20" s="23">
        <v>30</v>
      </c>
      <c r="F20" s="22">
        <v>19.329999999999998</v>
      </c>
      <c r="G20" s="22">
        <v>20.07</v>
      </c>
      <c r="H20" s="22">
        <f t="shared" si="1"/>
        <v>19.7</v>
      </c>
      <c r="I20" s="22">
        <v>38.299999999999997</v>
      </c>
      <c r="J20" s="22">
        <v>36.270000000000003</v>
      </c>
      <c r="K20" s="22">
        <f t="shared" si="2"/>
        <v>37.284999999999997</v>
      </c>
      <c r="L20" s="22">
        <f t="shared" si="3"/>
        <v>17.584999999999997</v>
      </c>
      <c r="M20" s="22">
        <f t="shared" si="0"/>
        <v>0.95100000000000051</v>
      </c>
      <c r="N20" s="21">
        <f t="shared" si="4"/>
        <v>0.51727379075945434</v>
      </c>
      <c r="O20" s="41">
        <f t="shared" si="5"/>
        <v>16.149000000000004</v>
      </c>
      <c r="P20" s="41">
        <f t="shared" si="6"/>
        <v>-0.48499999999999233</v>
      </c>
      <c r="Q20" s="42">
        <f t="shared" si="7"/>
        <v>1.3995858655951885</v>
      </c>
    </row>
    <row r="21" spans="1:17" x14ac:dyDescent="0.35">
      <c r="A21" s="21">
        <v>17</v>
      </c>
      <c r="B21" s="21" t="s">
        <v>131</v>
      </c>
      <c r="C21" s="21" t="s">
        <v>111</v>
      </c>
      <c r="D21" s="21" t="s">
        <v>109</v>
      </c>
      <c r="E21" s="23">
        <v>33</v>
      </c>
      <c r="F21" s="22">
        <v>16.170000000000002</v>
      </c>
      <c r="G21" s="22">
        <v>16.829999999999998</v>
      </c>
      <c r="H21" s="22">
        <f t="shared" si="1"/>
        <v>16.5</v>
      </c>
      <c r="I21" s="22">
        <v>30.2</v>
      </c>
      <c r="J21" s="22">
        <v>31.17</v>
      </c>
      <c r="K21" s="22">
        <f t="shared" si="2"/>
        <v>30.685000000000002</v>
      </c>
      <c r="L21" s="22">
        <f t="shared" si="3"/>
        <v>14.185000000000002</v>
      </c>
      <c r="M21" s="22">
        <f t="shared" si="0"/>
        <v>-2.4489999999999945</v>
      </c>
      <c r="N21" s="21">
        <f t="shared" si="4"/>
        <v>5.4603748715406448</v>
      </c>
      <c r="O21" s="41"/>
      <c r="P21" s="41"/>
      <c r="Q21" s="42"/>
    </row>
    <row r="22" spans="1:17" x14ac:dyDescent="0.35">
      <c r="A22" s="21">
        <v>18</v>
      </c>
      <c r="B22" s="21" t="s">
        <v>132</v>
      </c>
      <c r="C22" s="21" t="s">
        <v>112</v>
      </c>
      <c r="D22" s="21" t="s">
        <v>109</v>
      </c>
      <c r="E22" s="23">
        <v>34</v>
      </c>
      <c r="F22" s="22">
        <v>17.16</v>
      </c>
      <c r="G22" s="22">
        <v>17.28</v>
      </c>
      <c r="H22" s="22">
        <f t="shared" si="1"/>
        <v>17.22</v>
      </c>
      <c r="I22" s="22">
        <v>34.01</v>
      </c>
      <c r="J22" s="22">
        <v>34.11</v>
      </c>
      <c r="K22" s="22">
        <f t="shared" si="2"/>
        <v>34.06</v>
      </c>
      <c r="L22" s="22">
        <f t="shared" si="3"/>
        <v>16.840000000000003</v>
      </c>
      <c r="M22" s="22">
        <f t="shared" si="0"/>
        <v>0.20600000000000662</v>
      </c>
      <c r="N22" s="21">
        <f t="shared" si="4"/>
        <v>0.86693756351468265</v>
      </c>
      <c r="O22" s="41"/>
      <c r="P22" s="41"/>
      <c r="Q22" s="42"/>
    </row>
    <row r="23" spans="1:17" x14ac:dyDescent="0.35">
      <c r="A23" s="21">
        <v>19</v>
      </c>
      <c r="B23" s="21" t="s">
        <v>133</v>
      </c>
      <c r="C23" s="21" t="s">
        <v>113</v>
      </c>
      <c r="D23" s="21" t="s">
        <v>109</v>
      </c>
      <c r="E23" s="23">
        <v>36</v>
      </c>
      <c r="F23" s="22">
        <v>16.32</v>
      </c>
      <c r="G23" s="22">
        <v>17</v>
      </c>
      <c r="H23" s="22">
        <f t="shared" si="1"/>
        <v>16.66</v>
      </c>
      <c r="I23" s="22">
        <v>30.2</v>
      </c>
      <c r="J23" s="22">
        <v>31.03</v>
      </c>
      <c r="K23" s="22">
        <f t="shared" si="2"/>
        <v>30.615000000000002</v>
      </c>
      <c r="L23" s="22">
        <f t="shared" si="3"/>
        <v>13.955000000000002</v>
      </c>
      <c r="M23" s="22">
        <f t="shared" si="0"/>
        <v>-2.6789999999999949</v>
      </c>
      <c r="N23" s="21">
        <f t="shared" si="4"/>
        <v>6.4041184852504012</v>
      </c>
      <c r="O23" s="41"/>
      <c r="P23" s="41"/>
      <c r="Q23" s="42"/>
    </row>
    <row r="24" spans="1:17" x14ac:dyDescent="0.35">
      <c r="A24" s="21">
        <v>20</v>
      </c>
      <c r="B24" s="21" t="s">
        <v>134</v>
      </c>
      <c r="C24" s="21" t="s">
        <v>114</v>
      </c>
      <c r="D24" s="21" t="s">
        <v>109</v>
      </c>
      <c r="E24" s="23">
        <v>39</v>
      </c>
      <c r="F24" s="22">
        <v>17.010000000000002</v>
      </c>
      <c r="G24" s="22">
        <v>17.39</v>
      </c>
      <c r="H24" s="22">
        <f t="shared" si="1"/>
        <v>17.200000000000003</v>
      </c>
      <c r="I24" s="22">
        <v>35.369999999999997</v>
      </c>
      <c r="J24" s="22">
        <v>35.39</v>
      </c>
      <c r="K24" s="22">
        <f t="shared" si="2"/>
        <v>35.379999999999995</v>
      </c>
      <c r="L24" s="22">
        <f t="shared" si="3"/>
        <v>18.179999999999993</v>
      </c>
      <c r="M24" s="22">
        <f t="shared" si="0"/>
        <v>1.5459999999999958</v>
      </c>
      <c r="N24" s="21">
        <f t="shared" si="4"/>
        <v>0.34245824499139249</v>
      </c>
      <c r="O24" s="41"/>
      <c r="P24" s="41"/>
      <c r="Q24" s="42"/>
    </row>
    <row r="25" spans="1:17" x14ac:dyDescent="0.35">
      <c r="A25" s="17">
        <v>21</v>
      </c>
      <c r="B25" s="17" t="s">
        <v>135</v>
      </c>
      <c r="C25" s="17" t="s">
        <v>99</v>
      </c>
      <c r="D25" s="17" t="s">
        <v>98</v>
      </c>
      <c r="E25" s="17" t="s">
        <v>100</v>
      </c>
      <c r="F25" s="18">
        <v>17.760000000000002</v>
      </c>
      <c r="G25" s="18">
        <v>17.91</v>
      </c>
      <c r="H25" s="18">
        <f t="shared" si="1"/>
        <v>17.835000000000001</v>
      </c>
      <c r="I25" s="18">
        <v>34.42</v>
      </c>
      <c r="J25" s="18">
        <v>34.9</v>
      </c>
      <c r="K25" s="18">
        <f t="shared" si="2"/>
        <v>34.659999999999997</v>
      </c>
      <c r="L25" s="18">
        <f t="shared" si="3"/>
        <v>16.824999999999996</v>
      </c>
      <c r="M25" s="18">
        <f>L25-L25</f>
        <v>0</v>
      </c>
      <c r="N25" s="17">
        <f t="shared" si="4"/>
        <v>1</v>
      </c>
      <c r="O25" s="39">
        <f t="shared" si="5"/>
        <v>16.633999999999997</v>
      </c>
      <c r="P25" s="39">
        <f t="shared" si="6"/>
        <v>0</v>
      </c>
      <c r="Q25" s="40">
        <f t="shared" si="7"/>
        <v>1</v>
      </c>
    </row>
    <row r="26" spans="1:17" x14ac:dyDescent="0.35">
      <c r="A26" s="17">
        <v>22</v>
      </c>
      <c r="B26" s="17" t="s">
        <v>136</v>
      </c>
      <c r="C26" s="17" t="s">
        <v>101</v>
      </c>
      <c r="D26" s="17" t="s">
        <v>98</v>
      </c>
      <c r="E26" s="17" t="s">
        <v>102</v>
      </c>
      <c r="F26" s="18">
        <v>16.010000000000002</v>
      </c>
      <c r="G26" s="18">
        <v>16.36</v>
      </c>
      <c r="H26" s="18">
        <f t="shared" si="1"/>
        <v>16.185000000000002</v>
      </c>
      <c r="I26" s="18">
        <v>32.36</v>
      </c>
      <c r="J26" s="18">
        <v>33.11</v>
      </c>
      <c r="K26" s="18">
        <f t="shared" si="2"/>
        <v>32.734999999999999</v>
      </c>
      <c r="L26" s="18">
        <f t="shared" si="3"/>
        <v>16.549999999999997</v>
      </c>
      <c r="M26" s="18">
        <f t="shared" ref="M26:M29" si="8">L26-L26</f>
        <v>0</v>
      </c>
      <c r="N26" s="17">
        <f t="shared" si="4"/>
        <v>1</v>
      </c>
      <c r="O26" s="39"/>
      <c r="P26" s="39"/>
      <c r="Q26" s="40"/>
    </row>
    <row r="27" spans="1:17" x14ac:dyDescent="0.35">
      <c r="A27" s="17">
        <v>23</v>
      </c>
      <c r="B27" s="17" t="s">
        <v>137</v>
      </c>
      <c r="C27" s="17" t="s">
        <v>103</v>
      </c>
      <c r="D27" s="17" t="s">
        <v>98</v>
      </c>
      <c r="E27" s="17" t="s">
        <v>104</v>
      </c>
      <c r="F27" s="18">
        <v>16.899999999999999</v>
      </c>
      <c r="G27" s="18">
        <v>17.04</v>
      </c>
      <c r="H27" s="18">
        <f t="shared" si="1"/>
        <v>16.97</v>
      </c>
      <c r="I27" s="18">
        <v>31.37</v>
      </c>
      <c r="J27" s="18">
        <v>32.1</v>
      </c>
      <c r="K27" s="18">
        <f t="shared" si="2"/>
        <v>31.734999999999999</v>
      </c>
      <c r="L27" s="18">
        <f t="shared" si="3"/>
        <v>14.765000000000001</v>
      </c>
      <c r="M27" s="18">
        <f t="shared" si="8"/>
        <v>0</v>
      </c>
      <c r="N27" s="17">
        <f t="shared" si="4"/>
        <v>1</v>
      </c>
      <c r="O27" s="39"/>
      <c r="P27" s="39"/>
      <c r="Q27" s="40"/>
    </row>
    <row r="28" spans="1:17" x14ac:dyDescent="0.35">
      <c r="A28" s="17">
        <v>24</v>
      </c>
      <c r="B28" s="17" t="s">
        <v>138</v>
      </c>
      <c r="C28" s="17" t="s">
        <v>105</v>
      </c>
      <c r="D28" s="17" t="s">
        <v>98</v>
      </c>
      <c r="E28" s="17" t="s">
        <v>106</v>
      </c>
      <c r="F28" s="18">
        <v>17.66</v>
      </c>
      <c r="G28" s="18">
        <v>17.78</v>
      </c>
      <c r="H28" s="18">
        <f t="shared" si="1"/>
        <v>17.72</v>
      </c>
      <c r="I28" s="18">
        <v>34.72</v>
      </c>
      <c r="J28" s="18">
        <v>34.29</v>
      </c>
      <c r="K28" s="18">
        <f t="shared" si="2"/>
        <v>34.504999999999995</v>
      </c>
      <c r="L28" s="18">
        <f t="shared" si="3"/>
        <v>16.784999999999997</v>
      </c>
      <c r="M28" s="18">
        <f t="shared" si="8"/>
        <v>0</v>
      </c>
      <c r="N28" s="17">
        <f t="shared" si="4"/>
        <v>1</v>
      </c>
      <c r="O28" s="39"/>
      <c r="P28" s="39"/>
      <c r="Q28" s="40"/>
    </row>
    <row r="29" spans="1:17" x14ac:dyDescent="0.35">
      <c r="A29" s="17">
        <v>25</v>
      </c>
      <c r="B29" s="17" t="s">
        <v>139</v>
      </c>
      <c r="C29" s="17" t="s">
        <v>107</v>
      </c>
      <c r="D29" s="17" t="s">
        <v>98</v>
      </c>
      <c r="E29" s="17" t="s">
        <v>108</v>
      </c>
      <c r="F29" s="18">
        <v>17.21</v>
      </c>
      <c r="G29" s="18">
        <v>17.88</v>
      </c>
      <c r="H29" s="18">
        <f t="shared" si="1"/>
        <v>17.545000000000002</v>
      </c>
      <c r="I29" s="18">
        <v>34.909999999999997</v>
      </c>
      <c r="J29" s="18">
        <v>36.67</v>
      </c>
      <c r="K29" s="18">
        <f t="shared" si="2"/>
        <v>35.79</v>
      </c>
      <c r="L29" s="18">
        <f t="shared" si="3"/>
        <v>18.244999999999997</v>
      </c>
      <c r="M29" s="18">
        <f t="shared" si="8"/>
        <v>0</v>
      </c>
      <c r="N29" s="17">
        <f t="shared" si="4"/>
        <v>1</v>
      </c>
      <c r="O29" s="39"/>
      <c r="P29" s="39"/>
      <c r="Q29" s="40"/>
    </row>
  </sheetData>
  <mergeCells count="31">
    <mergeCell ref="O25:O29"/>
    <mergeCell ref="P25:P29"/>
    <mergeCell ref="Q25:Q29"/>
    <mergeCell ref="O15:O19"/>
    <mergeCell ref="P15:P19"/>
    <mergeCell ref="Q15:Q19"/>
    <mergeCell ref="O20:O24"/>
    <mergeCell ref="P20:P24"/>
    <mergeCell ref="Q20:Q24"/>
    <mergeCell ref="O5:O9"/>
    <mergeCell ref="P5:P9"/>
    <mergeCell ref="Q5:Q9"/>
    <mergeCell ref="O10:O14"/>
    <mergeCell ref="P10:P14"/>
    <mergeCell ref="Q10:Q14"/>
    <mergeCell ref="A1:A4"/>
    <mergeCell ref="B1:B4"/>
    <mergeCell ref="C1:C4"/>
    <mergeCell ref="D1:D4"/>
    <mergeCell ref="E1:E4"/>
    <mergeCell ref="F1:H2"/>
    <mergeCell ref="O2:O4"/>
    <mergeCell ref="P2:P4"/>
    <mergeCell ref="Q2:Q4"/>
    <mergeCell ref="O1:Q1"/>
    <mergeCell ref="F3:H3"/>
    <mergeCell ref="I3:K3"/>
    <mergeCell ref="I1:K2"/>
    <mergeCell ref="L1:L4"/>
    <mergeCell ref="M1:M4"/>
    <mergeCell ref="N1:N4"/>
  </mergeCells>
  <phoneticPr fontId="4" type="noConversion"/>
  <pageMargins left="0.7" right="0.7" top="0.75" bottom="0.75" header="0.3" footer="0.3"/>
  <ignoredErrors>
    <ignoredError sqref="H20:H24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CCD0-4747-406F-9D61-7818E1C3EBB3}">
  <dimension ref="A1:Q30"/>
  <sheetViews>
    <sheetView tabSelected="1" topLeftCell="I1" zoomScale="90" zoomScaleNormal="90" workbookViewId="0">
      <selection activeCell="A2" sqref="A1:Q30"/>
    </sheetView>
  </sheetViews>
  <sheetFormatPr defaultRowHeight="14.5" x14ac:dyDescent="0.35"/>
  <cols>
    <col min="3" max="3" width="11.6328125" customWidth="1"/>
    <col min="4" max="4" width="17" customWidth="1"/>
    <col min="5" max="5" width="22.08984375" hidden="1" customWidth="1"/>
    <col min="14" max="14" width="12.36328125" customWidth="1"/>
    <col min="17" max="17" width="11.90625" customWidth="1"/>
  </cols>
  <sheetData>
    <row r="1" spans="1:17" x14ac:dyDescent="0.35">
      <c r="A1" t="s">
        <v>169</v>
      </c>
    </row>
    <row r="2" spans="1:17" x14ac:dyDescent="0.35">
      <c r="A2" s="25" t="s">
        <v>153</v>
      </c>
      <c r="B2" s="25" t="s">
        <v>154</v>
      </c>
      <c r="C2" s="25" t="s">
        <v>1</v>
      </c>
      <c r="D2" s="25" t="s">
        <v>155</v>
      </c>
      <c r="E2" s="25" t="s">
        <v>168</v>
      </c>
      <c r="F2" s="24" t="s">
        <v>157</v>
      </c>
      <c r="G2" s="24"/>
      <c r="H2" s="24"/>
      <c r="I2" s="24" t="s">
        <v>156</v>
      </c>
      <c r="J2" s="24"/>
      <c r="K2" s="24"/>
      <c r="L2" s="24" t="s">
        <v>158</v>
      </c>
      <c r="M2" s="24" t="s">
        <v>159</v>
      </c>
      <c r="N2" s="25" t="s">
        <v>160</v>
      </c>
      <c r="O2" s="38" t="s">
        <v>167</v>
      </c>
      <c r="P2" s="38"/>
      <c r="Q2" s="38"/>
    </row>
    <row r="3" spans="1:17" ht="15" customHeight="1" x14ac:dyDescent="0.35">
      <c r="A3" s="25"/>
      <c r="B3" s="25"/>
      <c r="C3" s="25"/>
      <c r="D3" s="25"/>
      <c r="E3" s="25"/>
      <c r="F3" s="24"/>
      <c r="G3" s="24"/>
      <c r="H3" s="24"/>
      <c r="I3" s="24"/>
      <c r="J3" s="24"/>
      <c r="K3" s="24"/>
      <c r="L3" s="24"/>
      <c r="M3" s="24"/>
      <c r="N3" s="25"/>
      <c r="O3" s="24" t="s">
        <v>158</v>
      </c>
      <c r="P3" s="24" t="s">
        <v>159</v>
      </c>
      <c r="Q3" s="25" t="s">
        <v>160</v>
      </c>
    </row>
    <row r="4" spans="1:17" x14ac:dyDescent="0.35">
      <c r="A4" s="25"/>
      <c r="B4" s="25"/>
      <c r="C4" s="25"/>
      <c r="D4" s="25"/>
      <c r="E4" s="25"/>
      <c r="F4" s="24" t="s">
        <v>162</v>
      </c>
      <c r="G4" s="24"/>
      <c r="H4" s="24"/>
      <c r="I4" s="24" t="s">
        <v>166</v>
      </c>
      <c r="J4" s="24"/>
      <c r="K4" s="24"/>
      <c r="L4" s="24"/>
      <c r="M4" s="24"/>
      <c r="N4" s="25"/>
      <c r="O4" s="24"/>
      <c r="P4" s="24"/>
      <c r="Q4" s="25"/>
    </row>
    <row r="5" spans="1:17" x14ac:dyDescent="0.35">
      <c r="A5" s="25"/>
      <c r="B5" s="25"/>
      <c r="C5" s="25"/>
      <c r="D5" s="25"/>
      <c r="E5" s="25"/>
      <c r="F5" s="20" t="s">
        <v>163</v>
      </c>
      <c r="G5" s="20" t="s">
        <v>164</v>
      </c>
      <c r="H5" s="20" t="s">
        <v>165</v>
      </c>
      <c r="I5" s="20" t="s">
        <v>163</v>
      </c>
      <c r="J5" s="20" t="s">
        <v>164</v>
      </c>
      <c r="K5" s="20" t="s">
        <v>165</v>
      </c>
      <c r="L5" s="24"/>
      <c r="M5" s="24"/>
      <c r="N5" s="25"/>
      <c r="O5" s="24"/>
      <c r="P5" s="24"/>
      <c r="Q5" s="25"/>
    </row>
    <row r="6" spans="1:17" x14ac:dyDescent="0.35">
      <c r="A6" s="17">
        <v>1</v>
      </c>
      <c r="B6" s="17" t="s">
        <v>19</v>
      </c>
      <c r="C6" s="17" t="s">
        <v>3</v>
      </c>
      <c r="D6" s="17" t="s">
        <v>2</v>
      </c>
      <c r="E6" s="17" t="s">
        <v>32</v>
      </c>
      <c r="F6" s="18">
        <v>15.11</v>
      </c>
      <c r="G6" s="18">
        <v>15.07</v>
      </c>
      <c r="H6" s="18">
        <f>AVERAGE(F6:G6)</f>
        <v>15.09</v>
      </c>
      <c r="I6" s="18">
        <v>27.52</v>
      </c>
      <c r="J6" s="18">
        <v>29.06</v>
      </c>
      <c r="K6" s="18">
        <f>AVERAGE(I6:J6)</f>
        <v>28.29</v>
      </c>
      <c r="L6" s="18">
        <f>K6-H6</f>
        <v>13.2</v>
      </c>
      <c r="M6" s="18">
        <f t="shared" ref="M6:M20" si="0">L6-(AVERAGE($L$21:$L$25))</f>
        <v>-2.9489999999999981</v>
      </c>
      <c r="N6" s="17">
        <f>2^(-M6)</f>
        <v>7.7221361989740451</v>
      </c>
      <c r="O6" s="39">
        <f>AVERAGE(K6:K10)-AVERAGE(H6:H10)</f>
        <v>15.448000000000004</v>
      </c>
      <c r="P6" s="39">
        <f>O6-$O$21</f>
        <v>-0.70100000000000051</v>
      </c>
      <c r="Q6" s="40">
        <f>2^(-P6)</f>
        <v>1.6256312039686407</v>
      </c>
    </row>
    <row r="7" spans="1:17" x14ac:dyDescent="0.35">
      <c r="A7" s="17">
        <v>2</v>
      </c>
      <c r="B7" s="17" t="s">
        <v>20</v>
      </c>
      <c r="C7" s="17" t="s">
        <v>4</v>
      </c>
      <c r="D7" s="17" t="s">
        <v>2</v>
      </c>
      <c r="E7" s="17" t="s">
        <v>33</v>
      </c>
      <c r="F7" s="18">
        <v>18.82</v>
      </c>
      <c r="G7" s="18">
        <v>18.23</v>
      </c>
      <c r="H7" s="18">
        <f t="shared" ref="H7:H20" si="1">AVERAGE(F7:G7)</f>
        <v>18.524999999999999</v>
      </c>
      <c r="I7" s="18">
        <v>31.98</v>
      </c>
      <c r="J7" s="18">
        <v>32.299999999999997</v>
      </c>
      <c r="K7" s="18">
        <f t="shared" ref="K7:K20" si="2">AVERAGE(I7:J7)</f>
        <v>32.14</v>
      </c>
      <c r="L7" s="18">
        <f t="shared" ref="L7:L20" si="3">K7-H7</f>
        <v>13.615000000000002</v>
      </c>
      <c r="M7" s="18">
        <f t="shared" si="0"/>
        <v>-2.5339999999999954</v>
      </c>
      <c r="N7" s="17">
        <f t="shared" ref="N7:N25" si="4">2^(-M7)</f>
        <v>5.7917526895182165</v>
      </c>
      <c r="O7" s="39"/>
      <c r="P7" s="39"/>
      <c r="Q7" s="40"/>
    </row>
    <row r="8" spans="1:17" x14ac:dyDescent="0.35">
      <c r="A8" s="17">
        <v>3</v>
      </c>
      <c r="B8" s="17" t="s">
        <v>21</v>
      </c>
      <c r="C8" s="17" t="s">
        <v>5</v>
      </c>
      <c r="D8" s="17" t="s">
        <v>2</v>
      </c>
      <c r="E8" s="17" t="s">
        <v>34</v>
      </c>
      <c r="F8" s="18">
        <v>16.559999999999999</v>
      </c>
      <c r="G8" s="18">
        <v>17.75</v>
      </c>
      <c r="H8" s="18">
        <f t="shared" si="1"/>
        <v>17.155000000000001</v>
      </c>
      <c r="I8" s="18">
        <v>34.29</v>
      </c>
      <c r="J8" s="18">
        <v>36.6</v>
      </c>
      <c r="K8" s="18">
        <f t="shared" si="2"/>
        <v>35.445</v>
      </c>
      <c r="L8" s="18">
        <f t="shared" si="3"/>
        <v>18.29</v>
      </c>
      <c r="M8" s="18">
        <f t="shared" si="0"/>
        <v>2.1410000000000018</v>
      </c>
      <c r="N8" s="17">
        <f t="shared" si="4"/>
        <v>0.22672258223328548</v>
      </c>
      <c r="O8" s="39"/>
      <c r="P8" s="39"/>
      <c r="Q8" s="40"/>
    </row>
    <row r="9" spans="1:17" x14ac:dyDescent="0.35">
      <c r="A9" s="17">
        <v>4</v>
      </c>
      <c r="B9" s="17" t="s">
        <v>22</v>
      </c>
      <c r="C9" s="17" t="s">
        <v>6</v>
      </c>
      <c r="D9" s="17" t="s">
        <v>2</v>
      </c>
      <c r="E9" s="17" t="s">
        <v>35</v>
      </c>
      <c r="F9" s="18">
        <v>16.13</v>
      </c>
      <c r="G9" s="18">
        <v>15.98</v>
      </c>
      <c r="H9" s="18">
        <f t="shared" si="1"/>
        <v>16.055</v>
      </c>
      <c r="I9" s="18">
        <v>32.4</v>
      </c>
      <c r="J9" s="18">
        <v>33.340000000000003</v>
      </c>
      <c r="K9" s="18">
        <f t="shared" si="2"/>
        <v>32.870000000000005</v>
      </c>
      <c r="L9" s="18">
        <f t="shared" si="3"/>
        <v>16.815000000000005</v>
      </c>
      <c r="M9" s="18">
        <f t="shared" si="0"/>
        <v>0.66600000000000747</v>
      </c>
      <c r="N9" s="17">
        <f t="shared" si="4"/>
        <v>0.63025169579148954</v>
      </c>
      <c r="O9" s="39"/>
      <c r="P9" s="39"/>
      <c r="Q9" s="40"/>
    </row>
    <row r="10" spans="1:17" x14ac:dyDescent="0.35">
      <c r="A10" s="17">
        <v>5</v>
      </c>
      <c r="B10" s="17" t="s">
        <v>128</v>
      </c>
      <c r="C10" s="17" t="s">
        <v>122</v>
      </c>
      <c r="D10" s="17" t="s">
        <v>121</v>
      </c>
      <c r="E10" s="17" t="s">
        <v>123</v>
      </c>
      <c r="F10" s="19">
        <v>17.100000000000001</v>
      </c>
      <c r="G10" s="19">
        <v>17.72</v>
      </c>
      <c r="H10" s="18">
        <f t="shared" si="1"/>
        <v>17.41</v>
      </c>
      <c r="I10" s="19">
        <v>32.65</v>
      </c>
      <c r="J10" s="18">
        <v>32.81</v>
      </c>
      <c r="K10" s="18">
        <f t="shared" si="2"/>
        <v>32.730000000000004</v>
      </c>
      <c r="L10" s="18">
        <f t="shared" si="3"/>
        <v>15.320000000000004</v>
      </c>
      <c r="M10" s="18">
        <f t="shared" si="0"/>
        <v>-0.82899999999999352</v>
      </c>
      <c r="N10" s="17">
        <f t="shared" si="4"/>
        <v>1.7764535916848017</v>
      </c>
      <c r="O10" s="39"/>
      <c r="P10" s="39"/>
      <c r="Q10" s="40"/>
    </row>
    <row r="11" spans="1:17" x14ac:dyDescent="0.35">
      <c r="A11" s="21">
        <v>6</v>
      </c>
      <c r="B11" s="21" t="s">
        <v>23</v>
      </c>
      <c r="C11" s="21" t="s">
        <v>8</v>
      </c>
      <c r="D11" s="21" t="s">
        <v>141</v>
      </c>
      <c r="E11" s="21" t="s">
        <v>31</v>
      </c>
      <c r="F11" s="22">
        <v>18.03</v>
      </c>
      <c r="G11" s="22">
        <v>16.78</v>
      </c>
      <c r="H11" s="22">
        <f t="shared" si="1"/>
        <v>17.405000000000001</v>
      </c>
      <c r="I11" s="22">
        <v>34.049999999999997</v>
      </c>
      <c r="J11" s="22">
        <v>35.049999999999997</v>
      </c>
      <c r="K11" s="22">
        <f t="shared" si="2"/>
        <v>34.549999999999997</v>
      </c>
      <c r="L11" s="22">
        <f t="shared" si="3"/>
        <v>17.144999999999996</v>
      </c>
      <c r="M11" s="22">
        <f t="shared" si="0"/>
        <v>0.99599999999999866</v>
      </c>
      <c r="N11" s="21">
        <f t="shared" si="4"/>
        <v>0.50138821795053934</v>
      </c>
      <c r="O11" s="41">
        <f t="shared" ref="O11:O21" si="5">AVERAGE(K11:K15)-AVERAGE(H11:H15)</f>
        <v>16.437999999999995</v>
      </c>
      <c r="P11" s="41">
        <f>O11-$O$21</f>
        <v>0.28899999999999082</v>
      </c>
      <c r="Q11" s="42">
        <f t="shared" ref="Q11:Q21" si="6">2^(-P11)</f>
        <v>0.81846918159080917</v>
      </c>
    </row>
    <row r="12" spans="1:17" x14ac:dyDescent="0.35">
      <c r="A12" s="21">
        <v>7</v>
      </c>
      <c r="B12" s="21" t="s">
        <v>24</v>
      </c>
      <c r="C12" s="21" t="s">
        <v>9</v>
      </c>
      <c r="D12" s="21" t="s">
        <v>141</v>
      </c>
      <c r="E12" s="21" t="s">
        <v>31</v>
      </c>
      <c r="F12" s="22">
        <v>19.96</v>
      </c>
      <c r="G12" s="22">
        <v>19.899999999999999</v>
      </c>
      <c r="H12" s="22">
        <f t="shared" si="1"/>
        <v>19.93</v>
      </c>
      <c r="I12" s="22">
        <v>30.7</v>
      </c>
      <c r="J12" s="22">
        <v>32.03</v>
      </c>
      <c r="K12" s="22">
        <f t="shared" si="2"/>
        <v>31.365000000000002</v>
      </c>
      <c r="L12" s="22">
        <f t="shared" si="3"/>
        <v>11.435000000000002</v>
      </c>
      <c r="M12" s="22">
        <f t="shared" si="0"/>
        <v>-4.7139999999999951</v>
      </c>
      <c r="N12" s="21">
        <f t="shared" si="4"/>
        <v>26.245533158295149</v>
      </c>
      <c r="O12" s="41"/>
      <c r="P12" s="41"/>
      <c r="Q12" s="42"/>
    </row>
    <row r="13" spans="1:17" x14ac:dyDescent="0.35">
      <c r="A13" s="21">
        <v>8</v>
      </c>
      <c r="B13" s="21" t="s">
        <v>25</v>
      </c>
      <c r="C13" s="21" t="s">
        <v>10</v>
      </c>
      <c r="D13" s="21" t="s">
        <v>141</v>
      </c>
      <c r="E13" s="21" t="s">
        <v>31</v>
      </c>
      <c r="F13" s="22">
        <v>16.23</v>
      </c>
      <c r="G13" s="22">
        <v>16.84</v>
      </c>
      <c r="H13" s="22">
        <f t="shared" si="1"/>
        <v>16.535</v>
      </c>
      <c r="I13" s="22">
        <v>36</v>
      </c>
      <c r="J13" s="22">
        <v>34.68</v>
      </c>
      <c r="K13" s="22">
        <f t="shared" si="2"/>
        <v>35.340000000000003</v>
      </c>
      <c r="L13" s="22">
        <f t="shared" si="3"/>
        <v>18.805000000000003</v>
      </c>
      <c r="M13" s="22">
        <f t="shared" si="0"/>
        <v>2.6560000000000059</v>
      </c>
      <c r="N13" s="21">
        <f t="shared" si="4"/>
        <v>0.15865886075247496</v>
      </c>
      <c r="O13" s="41"/>
      <c r="P13" s="41"/>
      <c r="Q13" s="42"/>
    </row>
    <row r="14" spans="1:17" x14ac:dyDescent="0.35">
      <c r="A14" s="21">
        <v>9</v>
      </c>
      <c r="B14" s="21" t="s">
        <v>26</v>
      </c>
      <c r="C14" s="21" t="s">
        <v>11</v>
      </c>
      <c r="D14" s="21" t="s">
        <v>141</v>
      </c>
      <c r="E14" s="21" t="s">
        <v>31</v>
      </c>
      <c r="F14" s="22">
        <v>16.82</v>
      </c>
      <c r="G14" s="22">
        <v>16.82</v>
      </c>
      <c r="H14" s="22">
        <f t="shared" si="1"/>
        <v>16.82</v>
      </c>
      <c r="I14" s="22">
        <v>34.89</v>
      </c>
      <c r="J14" s="22">
        <v>36.31</v>
      </c>
      <c r="K14" s="22">
        <f t="shared" si="2"/>
        <v>35.6</v>
      </c>
      <c r="L14" s="22">
        <f t="shared" si="3"/>
        <v>18.78</v>
      </c>
      <c r="M14" s="22">
        <f t="shared" si="0"/>
        <v>2.6310000000000038</v>
      </c>
      <c r="N14" s="21">
        <f t="shared" si="4"/>
        <v>0.16143216878779146</v>
      </c>
      <c r="O14" s="41"/>
      <c r="P14" s="41"/>
      <c r="Q14" s="42"/>
    </row>
    <row r="15" spans="1:17" x14ac:dyDescent="0.35">
      <c r="A15" s="21">
        <v>10</v>
      </c>
      <c r="B15" s="21" t="s">
        <v>129</v>
      </c>
      <c r="C15" s="21" t="s">
        <v>142</v>
      </c>
      <c r="D15" s="21" t="s">
        <v>141</v>
      </c>
      <c r="E15" s="21" t="s">
        <v>124</v>
      </c>
      <c r="F15" s="22">
        <v>18.399999999999999</v>
      </c>
      <c r="G15" s="22">
        <v>18.36</v>
      </c>
      <c r="H15" s="22">
        <f t="shared" si="1"/>
        <v>18.38</v>
      </c>
      <c r="I15" s="22">
        <v>34.380000000000003</v>
      </c>
      <c r="J15" s="22">
        <v>34.43</v>
      </c>
      <c r="K15" s="22">
        <f t="shared" si="2"/>
        <v>34.405000000000001</v>
      </c>
      <c r="L15" s="22">
        <f t="shared" si="3"/>
        <v>16.025000000000002</v>
      </c>
      <c r="M15" s="22">
        <f t="shared" si="0"/>
        <v>-0.12399999999999523</v>
      </c>
      <c r="N15" s="21">
        <f t="shared" si="4"/>
        <v>1.0897521122133245</v>
      </c>
      <c r="O15" s="41"/>
      <c r="P15" s="41"/>
      <c r="Q15" s="42"/>
    </row>
    <row r="16" spans="1:17" x14ac:dyDescent="0.35">
      <c r="A16" s="17">
        <v>11</v>
      </c>
      <c r="B16" s="17" t="s">
        <v>27</v>
      </c>
      <c r="C16" s="17" t="s">
        <v>13</v>
      </c>
      <c r="D16" s="17" t="s">
        <v>12</v>
      </c>
      <c r="E16" s="17" t="s">
        <v>36</v>
      </c>
      <c r="F16" s="18">
        <v>16.27</v>
      </c>
      <c r="G16" s="18">
        <v>16.829999999999998</v>
      </c>
      <c r="H16" s="18">
        <f t="shared" si="1"/>
        <v>16.549999999999997</v>
      </c>
      <c r="I16" s="18">
        <v>32.43</v>
      </c>
      <c r="J16" s="18">
        <v>33.25</v>
      </c>
      <c r="K16" s="18">
        <f t="shared" si="2"/>
        <v>32.840000000000003</v>
      </c>
      <c r="L16" s="18">
        <f t="shared" si="3"/>
        <v>16.290000000000006</v>
      </c>
      <c r="M16" s="18">
        <f t="shared" si="0"/>
        <v>0.1410000000000089</v>
      </c>
      <c r="N16" s="17">
        <f t="shared" si="4"/>
        <v>0.90689032893313737</v>
      </c>
      <c r="O16" s="39">
        <f t="shared" si="5"/>
        <v>16.573</v>
      </c>
      <c r="P16" s="39">
        <f>O16-$O$21</f>
        <v>0.42399999999999594</v>
      </c>
      <c r="Q16" s="40">
        <f t="shared" si="6"/>
        <v>0.74535519339946232</v>
      </c>
    </row>
    <row r="17" spans="1:17" x14ac:dyDescent="0.35">
      <c r="A17" s="17">
        <v>12</v>
      </c>
      <c r="B17" s="17" t="s">
        <v>28</v>
      </c>
      <c r="C17" s="17" t="s">
        <v>14</v>
      </c>
      <c r="D17" s="17" t="s">
        <v>12</v>
      </c>
      <c r="E17" s="17" t="s">
        <v>37</v>
      </c>
      <c r="F17" s="18">
        <v>16.829999999999998</v>
      </c>
      <c r="G17" s="18">
        <v>17.23</v>
      </c>
      <c r="H17" s="18">
        <f t="shared" si="1"/>
        <v>17.03</v>
      </c>
      <c r="I17" s="18">
        <v>36.03</v>
      </c>
      <c r="J17" s="18">
        <v>34.35</v>
      </c>
      <c r="K17" s="18">
        <f t="shared" si="2"/>
        <v>35.19</v>
      </c>
      <c r="L17" s="18">
        <f t="shared" si="3"/>
        <v>18.159999999999997</v>
      </c>
      <c r="M17" s="18">
        <f t="shared" si="0"/>
        <v>2.0109999999999992</v>
      </c>
      <c r="N17" s="17">
        <f t="shared" si="4"/>
        <v>0.24810109367145478</v>
      </c>
      <c r="O17" s="39"/>
      <c r="P17" s="39"/>
      <c r="Q17" s="40"/>
    </row>
    <row r="18" spans="1:17" x14ac:dyDescent="0.35">
      <c r="A18" s="17">
        <v>13</v>
      </c>
      <c r="B18" s="17" t="s">
        <v>125</v>
      </c>
      <c r="C18" s="17" t="s">
        <v>115</v>
      </c>
      <c r="D18" s="17" t="s">
        <v>12</v>
      </c>
      <c r="E18" s="17" t="s">
        <v>118</v>
      </c>
      <c r="F18" s="18">
        <v>18.649999999999999</v>
      </c>
      <c r="G18" s="18">
        <v>18.8</v>
      </c>
      <c r="H18" s="18">
        <f t="shared" si="1"/>
        <v>18.725000000000001</v>
      </c>
      <c r="I18" s="18">
        <v>37.86</v>
      </c>
      <c r="J18" s="18">
        <v>36.659999999999997</v>
      </c>
      <c r="K18" s="18">
        <f t="shared" si="2"/>
        <v>37.26</v>
      </c>
      <c r="L18" s="18">
        <f t="shared" si="3"/>
        <v>18.534999999999997</v>
      </c>
      <c r="M18" s="18">
        <f t="shared" si="0"/>
        <v>2.3859999999999992</v>
      </c>
      <c r="N18" s="17">
        <f t="shared" si="4"/>
        <v>0.19131209622783354</v>
      </c>
      <c r="O18" s="39"/>
      <c r="P18" s="39"/>
      <c r="Q18" s="40"/>
    </row>
    <row r="19" spans="1:17" x14ac:dyDescent="0.35">
      <c r="A19" s="17">
        <v>14</v>
      </c>
      <c r="B19" s="17" t="s">
        <v>126</v>
      </c>
      <c r="C19" s="17" t="s">
        <v>116</v>
      </c>
      <c r="D19" s="17" t="s">
        <v>12</v>
      </c>
      <c r="E19" s="17" t="s">
        <v>119</v>
      </c>
      <c r="F19" s="18">
        <v>18</v>
      </c>
      <c r="G19" s="18">
        <v>18.399999999999999</v>
      </c>
      <c r="H19" s="18">
        <f t="shared" si="1"/>
        <v>18.2</v>
      </c>
      <c r="I19" s="18">
        <v>33.97</v>
      </c>
      <c r="J19" s="18">
        <v>35.020000000000003</v>
      </c>
      <c r="K19" s="18">
        <f t="shared" si="2"/>
        <v>34.495000000000005</v>
      </c>
      <c r="L19" s="18">
        <f t="shared" si="3"/>
        <v>16.295000000000005</v>
      </c>
      <c r="M19" s="18">
        <f t="shared" si="0"/>
        <v>0.1460000000000079</v>
      </c>
      <c r="N19" s="17">
        <f t="shared" si="4"/>
        <v>0.90375272675108098</v>
      </c>
      <c r="O19" s="39"/>
      <c r="P19" s="39"/>
      <c r="Q19" s="40"/>
    </row>
    <row r="20" spans="1:17" x14ac:dyDescent="0.35">
      <c r="A20" s="17">
        <v>15</v>
      </c>
      <c r="B20" s="17" t="s">
        <v>127</v>
      </c>
      <c r="C20" s="17" t="s">
        <v>117</v>
      </c>
      <c r="D20" s="17" t="s">
        <v>12</v>
      </c>
      <c r="E20" s="17" t="s">
        <v>120</v>
      </c>
      <c r="F20" s="19">
        <v>20.010000000000002</v>
      </c>
      <c r="G20" s="19">
        <v>20.3</v>
      </c>
      <c r="H20" s="18">
        <f t="shared" si="1"/>
        <v>20.155000000000001</v>
      </c>
      <c r="I20" s="19">
        <v>33.39</v>
      </c>
      <c r="J20" s="18">
        <v>34.090000000000003</v>
      </c>
      <c r="K20" s="18">
        <f t="shared" si="2"/>
        <v>33.74</v>
      </c>
      <c r="L20" s="18">
        <f t="shared" si="3"/>
        <v>13.585000000000001</v>
      </c>
      <c r="M20" s="18">
        <f t="shared" si="0"/>
        <v>-2.5639999999999965</v>
      </c>
      <c r="N20" s="17">
        <f t="shared" si="4"/>
        <v>5.9134497250953526</v>
      </c>
      <c r="O20" s="39"/>
      <c r="P20" s="39"/>
      <c r="Q20" s="40"/>
    </row>
    <row r="21" spans="1:17" x14ac:dyDescent="0.35">
      <c r="A21" s="21">
        <v>16</v>
      </c>
      <c r="B21" s="21" t="s">
        <v>130</v>
      </c>
      <c r="C21" s="21" t="s">
        <v>110</v>
      </c>
      <c r="D21" s="21" t="s">
        <v>109</v>
      </c>
      <c r="E21" s="23">
        <v>30</v>
      </c>
      <c r="F21" s="22">
        <v>19.329999999999998</v>
      </c>
      <c r="G21" s="22">
        <v>20.07</v>
      </c>
      <c r="H21" s="22">
        <f t="shared" ref="H21:H25" si="7">AVERAGE(F21:G21)</f>
        <v>19.7</v>
      </c>
      <c r="I21" s="22">
        <v>38.299999999999997</v>
      </c>
      <c r="J21" s="22">
        <v>36.270000000000003</v>
      </c>
      <c r="K21" s="22">
        <f t="shared" ref="K21:K25" si="8">AVERAGE(I21:J21)</f>
        <v>37.284999999999997</v>
      </c>
      <c r="L21" s="22">
        <f t="shared" ref="L21:L25" si="9">K21-H21</f>
        <v>17.584999999999997</v>
      </c>
      <c r="M21" s="22">
        <f>L21-L21</f>
        <v>0</v>
      </c>
      <c r="N21" s="21">
        <f t="shared" si="4"/>
        <v>1</v>
      </c>
      <c r="O21" s="41">
        <f t="shared" si="5"/>
        <v>16.149000000000004</v>
      </c>
      <c r="P21" s="41">
        <f>O21-$O$21</f>
        <v>0</v>
      </c>
      <c r="Q21" s="42">
        <f t="shared" si="6"/>
        <v>1</v>
      </c>
    </row>
    <row r="22" spans="1:17" x14ac:dyDescent="0.35">
      <c r="A22" s="21">
        <v>17</v>
      </c>
      <c r="B22" s="21" t="s">
        <v>131</v>
      </c>
      <c r="C22" s="21" t="s">
        <v>111</v>
      </c>
      <c r="D22" s="21" t="s">
        <v>109</v>
      </c>
      <c r="E22" s="23">
        <v>33</v>
      </c>
      <c r="F22" s="22">
        <v>16.170000000000002</v>
      </c>
      <c r="G22" s="22">
        <v>16.829999999999998</v>
      </c>
      <c r="H22" s="22">
        <f t="shared" si="7"/>
        <v>16.5</v>
      </c>
      <c r="I22" s="22">
        <v>30.2</v>
      </c>
      <c r="J22" s="22">
        <v>31.17</v>
      </c>
      <c r="K22" s="22">
        <f t="shared" si="8"/>
        <v>30.685000000000002</v>
      </c>
      <c r="L22" s="22">
        <f t="shared" si="9"/>
        <v>14.185000000000002</v>
      </c>
      <c r="M22" s="22">
        <f t="shared" ref="M22:M25" si="10">L22-L22</f>
        <v>0</v>
      </c>
      <c r="N22" s="21">
        <f t="shared" si="4"/>
        <v>1</v>
      </c>
      <c r="O22" s="41"/>
      <c r="P22" s="41"/>
      <c r="Q22" s="42"/>
    </row>
    <row r="23" spans="1:17" x14ac:dyDescent="0.35">
      <c r="A23" s="21">
        <v>18</v>
      </c>
      <c r="B23" s="21" t="s">
        <v>132</v>
      </c>
      <c r="C23" s="21" t="s">
        <v>112</v>
      </c>
      <c r="D23" s="21" t="s">
        <v>109</v>
      </c>
      <c r="E23" s="23">
        <v>34</v>
      </c>
      <c r="F23" s="22">
        <v>17.16</v>
      </c>
      <c r="G23" s="22">
        <v>17.28</v>
      </c>
      <c r="H23" s="22">
        <f t="shared" si="7"/>
        <v>17.22</v>
      </c>
      <c r="I23" s="22">
        <v>34.01</v>
      </c>
      <c r="J23" s="22">
        <v>34.11</v>
      </c>
      <c r="K23" s="22">
        <f t="shared" si="8"/>
        <v>34.06</v>
      </c>
      <c r="L23" s="22">
        <f t="shared" si="9"/>
        <v>16.840000000000003</v>
      </c>
      <c r="M23" s="22">
        <f t="shared" si="10"/>
        <v>0</v>
      </c>
      <c r="N23" s="21">
        <f t="shared" si="4"/>
        <v>1</v>
      </c>
      <c r="O23" s="41"/>
      <c r="P23" s="41"/>
      <c r="Q23" s="42"/>
    </row>
    <row r="24" spans="1:17" x14ac:dyDescent="0.35">
      <c r="A24" s="21">
        <v>19</v>
      </c>
      <c r="B24" s="21" t="s">
        <v>133</v>
      </c>
      <c r="C24" s="21" t="s">
        <v>113</v>
      </c>
      <c r="D24" s="21" t="s">
        <v>109</v>
      </c>
      <c r="E24" s="23">
        <v>36</v>
      </c>
      <c r="F24" s="22">
        <v>16.32</v>
      </c>
      <c r="G24" s="22">
        <v>17</v>
      </c>
      <c r="H24" s="22">
        <f t="shared" si="7"/>
        <v>16.66</v>
      </c>
      <c r="I24" s="22">
        <v>30.2</v>
      </c>
      <c r="J24" s="22">
        <v>31.03</v>
      </c>
      <c r="K24" s="22">
        <f t="shared" si="8"/>
        <v>30.615000000000002</v>
      </c>
      <c r="L24" s="22">
        <f t="shared" si="9"/>
        <v>13.955000000000002</v>
      </c>
      <c r="M24" s="22">
        <f t="shared" si="10"/>
        <v>0</v>
      </c>
      <c r="N24" s="21">
        <f t="shared" si="4"/>
        <v>1</v>
      </c>
      <c r="O24" s="41"/>
      <c r="P24" s="41"/>
      <c r="Q24" s="42"/>
    </row>
    <row r="25" spans="1:17" x14ac:dyDescent="0.35">
      <c r="A25" s="21">
        <v>20</v>
      </c>
      <c r="B25" s="21" t="s">
        <v>134</v>
      </c>
      <c r="C25" s="21" t="s">
        <v>114</v>
      </c>
      <c r="D25" s="21" t="s">
        <v>109</v>
      </c>
      <c r="E25" s="23">
        <v>39</v>
      </c>
      <c r="F25" s="22">
        <v>17.010000000000002</v>
      </c>
      <c r="G25" s="22">
        <v>17.39</v>
      </c>
      <c r="H25" s="22">
        <f t="shared" si="7"/>
        <v>17.200000000000003</v>
      </c>
      <c r="I25" s="22">
        <v>35.369999999999997</v>
      </c>
      <c r="J25" s="22">
        <v>35.39</v>
      </c>
      <c r="K25" s="22">
        <f t="shared" si="8"/>
        <v>35.379999999999995</v>
      </c>
      <c r="L25" s="22">
        <f t="shared" si="9"/>
        <v>18.179999999999993</v>
      </c>
      <c r="M25" s="22">
        <f t="shared" si="10"/>
        <v>0</v>
      </c>
      <c r="N25" s="21">
        <f t="shared" si="4"/>
        <v>1</v>
      </c>
      <c r="O25" s="41"/>
      <c r="P25" s="41"/>
      <c r="Q25" s="42"/>
    </row>
    <row r="26" spans="1:17" hidden="1" x14ac:dyDescent="0.35">
      <c r="A26" s="17">
        <v>21</v>
      </c>
      <c r="B26" s="17" t="s">
        <v>135</v>
      </c>
      <c r="C26" s="17" t="s">
        <v>99</v>
      </c>
      <c r="D26" s="17" t="s">
        <v>98</v>
      </c>
      <c r="E26" s="17" t="s">
        <v>100</v>
      </c>
      <c r="F26" s="18">
        <v>17.760000000000002</v>
      </c>
      <c r="G26" s="18">
        <v>17.91</v>
      </c>
      <c r="H26" s="18">
        <f>AVERAGE(F26:G26)</f>
        <v>17.835000000000001</v>
      </c>
      <c r="I26" s="18">
        <v>34.42</v>
      </c>
      <c r="J26" s="18">
        <v>34.9</v>
      </c>
      <c r="K26" s="18">
        <f>AVERAGE(I26:J26)</f>
        <v>34.659999999999997</v>
      </c>
      <c r="L26" s="18">
        <f>K26-H26</f>
        <v>16.824999999999996</v>
      </c>
      <c r="M26" s="18">
        <f>L26-(AVERAGE($L$21:$L$25))</f>
        <v>0.67599999999999838</v>
      </c>
      <c r="N26" s="17">
        <f>2^(-M26)</f>
        <v>0.6258982293269979</v>
      </c>
      <c r="O26" s="39">
        <f>AVERAGE(K26:K30)-AVERAGE(H26:H30)</f>
        <v>16.633999999999997</v>
      </c>
      <c r="P26" s="39">
        <f>O26-$O$21</f>
        <v>0.48499999999999233</v>
      </c>
      <c r="Q26" s="40">
        <f>2^(-P26)</f>
        <v>0.71449706987055028</v>
      </c>
    </row>
    <row r="27" spans="1:17" hidden="1" x14ac:dyDescent="0.35">
      <c r="A27" s="17">
        <v>22</v>
      </c>
      <c r="B27" s="17" t="s">
        <v>136</v>
      </c>
      <c r="C27" s="17" t="s">
        <v>101</v>
      </c>
      <c r="D27" s="17" t="s">
        <v>98</v>
      </c>
      <c r="E27" s="17" t="s">
        <v>102</v>
      </c>
      <c r="F27" s="18">
        <v>16.010000000000002</v>
      </c>
      <c r="G27" s="18">
        <v>16.36</v>
      </c>
      <c r="H27" s="18">
        <f>AVERAGE(F27:G27)</f>
        <v>16.185000000000002</v>
      </c>
      <c r="I27" s="18">
        <v>32.36</v>
      </c>
      <c r="J27" s="18">
        <v>33.11</v>
      </c>
      <c r="K27" s="18">
        <f>AVERAGE(I27:J27)</f>
        <v>32.734999999999999</v>
      </c>
      <c r="L27" s="18">
        <f>K27-H27</f>
        <v>16.549999999999997</v>
      </c>
      <c r="M27" s="18">
        <f>L27-(AVERAGE($L$21:$L$25))</f>
        <v>0.4009999999999998</v>
      </c>
      <c r="N27" s="17">
        <f>2^(-M27)</f>
        <v>0.7573331579384881</v>
      </c>
      <c r="O27" s="39"/>
      <c r="P27" s="39"/>
      <c r="Q27" s="40"/>
    </row>
    <row r="28" spans="1:17" hidden="1" x14ac:dyDescent="0.35">
      <c r="A28" s="17">
        <v>23</v>
      </c>
      <c r="B28" s="17" t="s">
        <v>137</v>
      </c>
      <c r="C28" s="17" t="s">
        <v>103</v>
      </c>
      <c r="D28" s="17" t="s">
        <v>98</v>
      </c>
      <c r="E28" s="17" t="s">
        <v>104</v>
      </c>
      <c r="F28" s="18">
        <v>16.899999999999999</v>
      </c>
      <c r="G28" s="18">
        <v>17.04</v>
      </c>
      <c r="H28" s="18">
        <f>AVERAGE(F28:G28)</f>
        <v>16.97</v>
      </c>
      <c r="I28" s="18">
        <v>31.37</v>
      </c>
      <c r="J28" s="18">
        <v>32.1</v>
      </c>
      <c r="K28" s="18">
        <f>AVERAGE(I28:J28)</f>
        <v>31.734999999999999</v>
      </c>
      <c r="L28" s="18">
        <f>K28-H28</f>
        <v>14.765000000000001</v>
      </c>
      <c r="M28" s="18">
        <f>L28-(AVERAGE($L$21:$L$25))</f>
        <v>-1.3839999999999968</v>
      </c>
      <c r="N28" s="17">
        <f>2^(-M28)</f>
        <v>2.6099098953779092</v>
      </c>
      <c r="O28" s="39"/>
      <c r="P28" s="39"/>
      <c r="Q28" s="40"/>
    </row>
    <row r="29" spans="1:17" hidden="1" x14ac:dyDescent="0.35">
      <c r="A29" s="17">
        <v>24</v>
      </c>
      <c r="B29" s="17" t="s">
        <v>138</v>
      </c>
      <c r="C29" s="17" t="s">
        <v>105</v>
      </c>
      <c r="D29" s="17" t="s">
        <v>98</v>
      </c>
      <c r="E29" s="17" t="s">
        <v>106</v>
      </c>
      <c r="F29" s="18">
        <v>17.66</v>
      </c>
      <c r="G29" s="18">
        <v>17.78</v>
      </c>
      <c r="H29" s="18">
        <f>AVERAGE(F29:G29)</f>
        <v>17.72</v>
      </c>
      <c r="I29" s="18">
        <v>34.72</v>
      </c>
      <c r="J29" s="18">
        <v>34.29</v>
      </c>
      <c r="K29" s="18">
        <f>AVERAGE(I29:J29)</f>
        <v>34.504999999999995</v>
      </c>
      <c r="L29" s="18">
        <f>K29-H29</f>
        <v>16.784999999999997</v>
      </c>
      <c r="M29" s="18">
        <f>L29-(AVERAGE($L$21:$L$25))</f>
        <v>0.63599999999999923</v>
      </c>
      <c r="N29" s="17">
        <f>2^(-M29)</f>
        <v>0.6434946236506357</v>
      </c>
      <c r="O29" s="39"/>
      <c r="P29" s="39"/>
      <c r="Q29" s="40"/>
    </row>
    <row r="30" spans="1:17" hidden="1" x14ac:dyDescent="0.35">
      <c r="A30" s="17">
        <v>25</v>
      </c>
      <c r="B30" s="17" t="s">
        <v>139</v>
      </c>
      <c r="C30" s="17" t="s">
        <v>107</v>
      </c>
      <c r="D30" s="17" t="s">
        <v>98</v>
      </c>
      <c r="E30" s="17" t="s">
        <v>108</v>
      </c>
      <c r="F30" s="18">
        <v>17.21</v>
      </c>
      <c r="G30" s="18">
        <v>17.88</v>
      </c>
      <c r="H30" s="18">
        <f>AVERAGE(F30:G30)</f>
        <v>17.545000000000002</v>
      </c>
      <c r="I30" s="18">
        <v>34.909999999999997</v>
      </c>
      <c r="J30" s="18">
        <v>36.67</v>
      </c>
      <c r="K30" s="18">
        <f>AVERAGE(I30:J30)</f>
        <v>35.79</v>
      </c>
      <c r="L30" s="18">
        <f>K30-H30</f>
        <v>18.244999999999997</v>
      </c>
      <c r="M30" s="18">
        <f>L30-(AVERAGE($L$21:$L$25))</f>
        <v>2.0960000000000001</v>
      </c>
      <c r="N30" s="17">
        <f>2^(-M30)</f>
        <v>0.23390587445785005</v>
      </c>
      <c r="O30" s="39"/>
      <c r="P30" s="39"/>
      <c r="Q30" s="40"/>
    </row>
  </sheetData>
  <mergeCells count="31">
    <mergeCell ref="O26:O30"/>
    <mergeCell ref="P26:P30"/>
    <mergeCell ref="Q26:Q30"/>
    <mergeCell ref="O6:O10"/>
    <mergeCell ref="P6:P10"/>
    <mergeCell ref="Q6:Q10"/>
    <mergeCell ref="O11:O15"/>
    <mergeCell ref="P11:P15"/>
    <mergeCell ref="Q11:Q15"/>
    <mergeCell ref="O21:O25"/>
    <mergeCell ref="P21:P25"/>
    <mergeCell ref="Q21:Q25"/>
    <mergeCell ref="O16:O20"/>
    <mergeCell ref="P16:P20"/>
    <mergeCell ref="Q16:Q20"/>
    <mergeCell ref="I2:K3"/>
    <mergeCell ref="L2:L5"/>
    <mergeCell ref="M2:M5"/>
    <mergeCell ref="N2:N5"/>
    <mergeCell ref="O2:Q2"/>
    <mergeCell ref="O3:O5"/>
    <mergeCell ref="P3:P5"/>
    <mergeCell ref="Q3:Q5"/>
    <mergeCell ref="I4:K4"/>
    <mergeCell ref="F2:H3"/>
    <mergeCell ref="F4:H4"/>
    <mergeCell ref="A2:A5"/>
    <mergeCell ref="B2:B5"/>
    <mergeCell ref="C2:C5"/>
    <mergeCell ref="D2:D5"/>
    <mergeCell ref="E2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Larutan</vt:lpstr>
      <vt:lpstr>NanoDrop</vt:lpstr>
      <vt:lpstr>GFAP</vt:lpstr>
      <vt:lpstr>GFAP (2)</vt:lpstr>
      <vt:lpstr>Syndecan</vt:lpstr>
      <vt:lpstr>Syndecan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RENY</dc:creator>
  <cp:lastModifiedBy>Juli Yandi Rahman</cp:lastModifiedBy>
  <dcterms:created xsi:type="dcterms:W3CDTF">2025-02-14T07:44:02Z</dcterms:created>
  <dcterms:modified xsi:type="dcterms:W3CDTF">2025-05-07T07:24:15Z</dcterms:modified>
</cp:coreProperties>
</file>