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Research Consultant\Project ANOVA, Post Hoc Test, and Kaplan Meier in SPSS\"/>
    </mc:Choice>
  </mc:AlternateContent>
  <xr:revisionPtr revIDLastSave="0" documentId="13_ncr:1_{D565DC6B-9311-464D-B79A-BA1AC1544D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12" i="1"/>
  <c r="E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<sst xmlns="http://schemas.openxmlformats.org/spreadsheetml/2006/main" count="5" uniqueCount="5">
  <si>
    <t>Kelompok</t>
  </si>
  <si>
    <t>GFAP</t>
  </si>
  <si>
    <t>Syndecan</t>
  </si>
  <si>
    <t>Rata-rata Rasio</t>
  </si>
  <si>
    <t>Rasio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</si>
</sst>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1" fontId="1" fillId="0" borderId="0" xfId="0" applyNumberFormat="1" applyFont="1"/>
    <xf numFmtId="166" fontId="1" fillId="0" borderId="0" xfId="0" applyNumberFormat="1" applyFont="1"/>
    <xf numFmtId="2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Border="1"/>
    <xf numFmtId="166" fontId="1" fillId="0" borderId="0" xfId="0" applyNumberFormat="1" applyFont="1" applyBorder="1"/>
    <xf numFmtId="2" fontId="1" fillId="0" borderId="0" xfId="0" applyNumberFormat="1" applyFont="1" applyBorder="1"/>
    <xf numFmtId="2" fontId="1" fillId="0" borderId="0" xfId="0" applyNumberFormat="1" applyFont="1" applyBorder="1" applyAlignment="1">
      <alignment horizontal="center" vertical="center"/>
    </xf>
    <xf numFmtId="1" fontId="1" fillId="0" borderId="2" xfId="0" applyNumberFormat="1" applyFont="1" applyBorder="1"/>
    <xf numFmtId="166" fontId="1" fillId="0" borderId="2" xfId="0" applyNumberFormat="1" applyFont="1" applyBorder="1"/>
    <xf numFmtId="2" fontId="1" fillId="0" borderId="2" xfId="0" applyNumberFormat="1" applyFont="1" applyBorder="1"/>
    <xf numFmtId="2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6" workbookViewId="0">
      <selection activeCell="K13" sqref="K13"/>
    </sheetView>
  </sheetViews>
  <sheetFormatPr defaultRowHeight="14.5" x14ac:dyDescent="0.35"/>
  <cols>
    <col min="1" max="1" width="9.90625" bestFit="1" customWidth="1"/>
    <col min="2" max="2" width="6.81640625" bestFit="1" customWidth="1"/>
    <col min="3" max="3" width="9.26953125" bestFit="1" customWidth="1"/>
    <col min="4" max="4" width="5.7265625" bestFit="1" customWidth="1"/>
    <col min="5" max="5" width="14.54296875" bestFit="1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15.5" x14ac:dyDescent="0.35">
      <c r="A2" s="2">
        <v>1</v>
      </c>
      <c r="B2" s="3">
        <v>2.3021789826555201</v>
      </c>
      <c r="C2" s="3">
        <v>7.7221361989740496</v>
      </c>
      <c r="D2" s="4">
        <f>B2/C2</f>
        <v>0.29812721808265746</v>
      </c>
      <c r="E2" s="5">
        <f>AVERAGE(D2:D6)</f>
        <v>3.7327951939609774</v>
      </c>
    </row>
    <row r="3" spans="1:5" ht="15.5" x14ac:dyDescent="0.35">
      <c r="A3" s="2">
        <v>1</v>
      </c>
      <c r="B3" s="3">
        <v>5.2343122858200202</v>
      </c>
      <c r="C3" s="3">
        <v>5.7917526895182201</v>
      </c>
      <c r="D3" s="4">
        <f t="shared" ref="D3:D21" si="0">B3/C3</f>
        <v>0.90375272675108476</v>
      </c>
      <c r="E3" s="5"/>
    </row>
    <row r="4" spans="1:5" ht="15.5" x14ac:dyDescent="0.35">
      <c r="A4" s="2">
        <v>1</v>
      </c>
      <c r="B4" s="3">
        <v>3.0588725557655398</v>
      </c>
      <c r="C4" s="3">
        <v>0.22672258223328501</v>
      </c>
      <c r="D4" s="4">
        <f t="shared" si="0"/>
        <v>13.491697764001863</v>
      </c>
      <c r="E4" s="5"/>
    </row>
    <row r="5" spans="1:5" ht="15.5" x14ac:dyDescent="0.35">
      <c r="A5" s="2">
        <v>1</v>
      </c>
      <c r="B5" s="3">
        <v>1.781385801213361</v>
      </c>
      <c r="C5" s="3">
        <v>0.63025169579148999</v>
      </c>
      <c r="D5" s="4">
        <f t="shared" si="0"/>
        <v>2.8264672877654702</v>
      </c>
      <c r="E5" s="5"/>
    </row>
    <row r="6" spans="1:5" ht="15.5" x14ac:dyDescent="0.35">
      <c r="A6" s="2">
        <v>1</v>
      </c>
      <c r="B6" s="3">
        <v>2.0321402859874</v>
      </c>
      <c r="C6" s="3">
        <v>1.7764535916848001</v>
      </c>
      <c r="D6" s="4">
        <f t="shared" si="0"/>
        <v>1.1439309732038117</v>
      </c>
      <c r="E6" s="5"/>
    </row>
    <row r="7" spans="1:5" ht="15.5" x14ac:dyDescent="0.35">
      <c r="A7" s="2">
        <v>2</v>
      </c>
      <c r="B7" s="3">
        <v>3.9258362554139299</v>
      </c>
      <c r="C7" s="3">
        <v>0.50138821795053901</v>
      </c>
      <c r="D7" s="4">
        <f t="shared" si="0"/>
        <v>7.8299332031795092</v>
      </c>
      <c r="E7" s="5">
        <f>AVERAGE(D7:D11)</f>
        <v>13.357920236186553</v>
      </c>
    </row>
    <row r="8" spans="1:5" ht="15.5" x14ac:dyDescent="0.35">
      <c r="A8" s="2">
        <v>2</v>
      </c>
      <c r="B8" s="3">
        <v>6.4441943283900001</v>
      </c>
      <c r="C8" s="3">
        <v>26.245533158295149</v>
      </c>
      <c r="D8" s="4">
        <f t="shared" si="0"/>
        <v>0.24553489881584864</v>
      </c>
      <c r="E8" s="5"/>
    </row>
    <row r="9" spans="1:5" ht="15.5" x14ac:dyDescent="0.35">
      <c r="A9" s="2">
        <v>2</v>
      </c>
      <c r="B9" s="3">
        <v>1.5615729852147799</v>
      </c>
      <c r="C9" s="3">
        <v>0.15865886075247501</v>
      </c>
      <c r="D9" s="4">
        <f t="shared" si="0"/>
        <v>9.8423307580091777</v>
      </c>
      <c r="E9" s="5"/>
    </row>
    <row r="10" spans="1:5" ht="15.5" x14ac:dyDescent="0.35">
      <c r="A10" s="2">
        <v>2</v>
      </c>
      <c r="B10" s="3">
        <v>7.6105462106544</v>
      </c>
      <c r="C10" s="3">
        <v>0.16143216878779101</v>
      </c>
      <c r="D10" s="4">
        <f t="shared" si="0"/>
        <v>47.143925946127659</v>
      </c>
      <c r="E10" s="5"/>
    </row>
    <row r="11" spans="1:5" ht="15.5" x14ac:dyDescent="0.35">
      <c r="A11" s="2">
        <v>2</v>
      </c>
      <c r="B11" s="3">
        <v>1.882956929082414</v>
      </c>
      <c r="C11" s="3">
        <v>1.08975211221332</v>
      </c>
      <c r="D11" s="4">
        <f t="shared" si="0"/>
        <v>1.7278763748005688</v>
      </c>
      <c r="E11" s="5"/>
    </row>
    <row r="12" spans="1:5" ht="15.5" x14ac:dyDescent="0.35">
      <c r="A12" s="2">
        <v>3</v>
      </c>
      <c r="B12" s="3">
        <v>1.7813858012133601</v>
      </c>
      <c r="C12" s="3">
        <v>0.90689032893313704</v>
      </c>
      <c r="D12" s="4">
        <f t="shared" si="0"/>
        <v>1.9642791905267938</v>
      </c>
      <c r="E12" s="5">
        <f>AVERAGE(D12:D16)</f>
        <v>4.7074947644505345</v>
      </c>
    </row>
    <row r="13" spans="1:5" ht="15.5" x14ac:dyDescent="0.35">
      <c r="A13" s="2">
        <v>3</v>
      </c>
      <c r="B13" s="3">
        <v>1.65061081702532</v>
      </c>
      <c r="C13" s="3">
        <v>0.248101093671455</v>
      </c>
      <c r="D13" s="4">
        <f t="shared" si="0"/>
        <v>6.6529767869992638</v>
      </c>
      <c r="E13" s="5"/>
    </row>
    <row r="14" spans="1:5" ht="15.5" x14ac:dyDescent="0.35">
      <c r="A14" s="2">
        <v>3</v>
      </c>
      <c r="B14" s="3">
        <v>1.8251309770869</v>
      </c>
      <c r="C14" s="3">
        <v>0.19131209622783399</v>
      </c>
      <c r="D14" s="4">
        <f t="shared" si="0"/>
        <v>9.5400709786450069</v>
      </c>
      <c r="E14" s="5"/>
    </row>
    <row r="15" spans="1:5" ht="15.5" x14ac:dyDescent="0.35">
      <c r="A15" s="2">
        <v>3</v>
      </c>
      <c r="B15" s="3">
        <v>2.3343162036369298</v>
      </c>
      <c r="C15" s="3">
        <v>0.90375272675108098</v>
      </c>
      <c r="D15" s="4">
        <f t="shared" si="0"/>
        <v>2.582914700604678</v>
      </c>
      <c r="E15" s="5"/>
    </row>
    <row r="16" spans="1:5" ht="15.5" x14ac:dyDescent="0.35">
      <c r="A16" s="2">
        <v>3</v>
      </c>
      <c r="B16" s="3">
        <v>16.54129177996742</v>
      </c>
      <c r="C16" s="3">
        <v>5.9134497250953499</v>
      </c>
      <c r="D16" s="4">
        <f t="shared" si="0"/>
        <v>2.7972321654769297</v>
      </c>
      <c r="E16" s="5"/>
    </row>
    <row r="17" spans="1:5" ht="15.5" x14ac:dyDescent="0.35">
      <c r="A17" s="6">
        <v>4</v>
      </c>
      <c r="B17" s="7">
        <v>1</v>
      </c>
      <c r="C17" s="7">
        <v>1</v>
      </c>
      <c r="D17" s="8">
        <f t="shared" si="0"/>
        <v>1</v>
      </c>
      <c r="E17" s="9">
        <f>AVERAGE(D17:D21)</f>
        <v>1</v>
      </c>
    </row>
    <row r="18" spans="1:5" ht="15.5" x14ac:dyDescent="0.35">
      <c r="A18" s="6">
        <v>4</v>
      </c>
      <c r="B18" s="7">
        <v>1</v>
      </c>
      <c r="C18" s="7">
        <v>1</v>
      </c>
      <c r="D18" s="8">
        <f t="shared" si="0"/>
        <v>1</v>
      </c>
      <c r="E18" s="9"/>
    </row>
    <row r="19" spans="1:5" ht="15.5" x14ac:dyDescent="0.35">
      <c r="A19" s="6">
        <v>4</v>
      </c>
      <c r="B19" s="7">
        <v>1</v>
      </c>
      <c r="C19" s="7">
        <v>1</v>
      </c>
      <c r="D19" s="8">
        <f t="shared" si="0"/>
        <v>1</v>
      </c>
      <c r="E19" s="9"/>
    </row>
    <row r="20" spans="1:5" ht="15.5" x14ac:dyDescent="0.35">
      <c r="A20" s="6">
        <v>4</v>
      </c>
      <c r="B20" s="7">
        <v>1</v>
      </c>
      <c r="C20" s="7">
        <v>1</v>
      </c>
      <c r="D20" s="8">
        <f t="shared" si="0"/>
        <v>1</v>
      </c>
      <c r="E20" s="9"/>
    </row>
    <row r="21" spans="1:5" ht="15.5" x14ac:dyDescent="0.35">
      <c r="A21" s="10">
        <v>4</v>
      </c>
      <c r="B21" s="11">
        <v>1</v>
      </c>
      <c r="C21" s="11">
        <v>1</v>
      </c>
      <c r="D21" s="12">
        <f t="shared" si="0"/>
        <v>1</v>
      </c>
      <c r="E21" s="13"/>
    </row>
  </sheetData>
  <mergeCells count="4">
    <mergeCell ref="E2:E6"/>
    <mergeCell ref="E7:E11"/>
    <mergeCell ref="E12:E16"/>
    <mergeCell ref="E17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Juli Yandi Rahman</cp:lastModifiedBy>
  <dcterms:created xsi:type="dcterms:W3CDTF">2011-08-01T14:22:18Z</dcterms:created>
  <dcterms:modified xsi:type="dcterms:W3CDTF">2025-05-08T13:45:15Z</dcterms:modified>
</cp:coreProperties>
</file>